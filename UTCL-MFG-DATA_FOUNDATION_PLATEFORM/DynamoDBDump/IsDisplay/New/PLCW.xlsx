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kapadia\Downloads\ExtractedFile-2\"/>
    </mc:Choice>
  </mc:AlternateContent>
  <xr:revisionPtr revIDLastSave="0" documentId="13_ncr:1_{99C37AC9-1B06-4113-A1EA-E859F71BFDAE}" xr6:coauthVersionLast="47" xr6:coauthVersionMax="47" xr10:uidLastSave="{00000000-0000-0000-0000-000000000000}"/>
  <bookViews>
    <workbookView xWindow="-110" yWindow="-110" windowWidth="19420" windowHeight="10300" xr2:uid="{FF817711-2E1A-4AFE-A736-3DFFC7E8DAB6}"/>
  </bookViews>
  <sheets>
    <sheet name="PLCW" sheetId="1" r:id="rId1"/>
    <sheet name="PLCW-CBA" sheetId="6" r:id="rId2"/>
    <sheet name="PLCW-CementMill" sheetId="2" r:id="rId3"/>
    <sheet name="PLCW-Cooler" sheetId="3" r:id="rId4"/>
    <sheet name="PLCW-Kiln" sheetId="4" r:id="rId5"/>
    <sheet name="PLCW-RawMill" sheetId="5" r:id="rId6"/>
  </sheets>
  <definedNames>
    <definedName name="_xlnm._FilterDatabase" localSheetId="2" hidden="1">'PLCW-CementMill'!$A$1:$C$63</definedName>
    <definedName name="_xlnm._FilterDatabase" localSheetId="3" hidden="1">'PLCW-Cooler'!$A$1:$C$1</definedName>
    <definedName name="_xlnm._FilterDatabase" localSheetId="4" hidden="1">'PLCW-Kiln'!$A$1:$C$148</definedName>
    <definedName name="_xlnm._FilterDatabase" localSheetId="5" hidden="1">'PLCW-RawMill'!$A$1:$C$1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6" l="1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2" i="6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C2" i="5"/>
  <c r="B2" i="5"/>
  <c r="C2" i="4"/>
  <c r="B2" i="4"/>
  <c r="C2" i="3"/>
  <c r="B2" i="3"/>
  <c r="C2" i="2"/>
  <c r="B2" i="2"/>
</calcChain>
</file>

<file path=xl/sharedStrings.xml><?xml version="1.0" encoding="utf-8"?>
<sst xmlns="http://schemas.openxmlformats.org/spreadsheetml/2006/main" count="8937" uniqueCount="2029">
  <si>
    <t>Business Unit</t>
  </si>
  <si>
    <t>Cluster</t>
  </si>
  <si>
    <t>Plant</t>
  </si>
  <si>
    <t>Line</t>
  </si>
  <si>
    <t>Plant SAP Code</t>
  </si>
  <si>
    <t>Section</t>
  </si>
  <si>
    <t>Equipment Group</t>
  </si>
  <si>
    <t>Equipment Subtype</t>
  </si>
  <si>
    <t>Variable Group</t>
  </si>
  <si>
    <t>Variable Type</t>
  </si>
  <si>
    <t>Standard Variable Description</t>
  </si>
  <si>
    <t>Unit Of Measurement</t>
  </si>
  <si>
    <t>Tag Name</t>
  </si>
  <si>
    <t>Tag UID</t>
  </si>
  <si>
    <t>Min</t>
  </si>
  <si>
    <t>Max</t>
  </si>
  <si>
    <t>LCL</t>
  </si>
  <si>
    <t>UCL</t>
  </si>
  <si>
    <t>Flat Line Length</t>
  </si>
  <si>
    <t>OPC EndPOint</t>
  </si>
  <si>
    <t>Path</t>
  </si>
  <si>
    <t>PropertyID</t>
  </si>
  <si>
    <t>AssetID</t>
  </si>
  <si>
    <t>IsDisplay</t>
  </si>
  <si>
    <t>ConvertToBinary</t>
  </si>
  <si>
    <t>PublishingInterval</t>
  </si>
  <si>
    <t>IsHighFrequencyTag</t>
  </si>
  <si>
    <t>CEMENT</t>
  </si>
  <si>
    <t>N</t>
  </si>
  <si>
    <t>PLCW</t>
  </si>
  <si>
    <t>1</t>
  </si>
  <si>
    <t>PC01</t>
  </si>
  <si>
    <t>Crusher</t>
  </si>
  <si>
    <t>dummy</t>
  </si>
  <si>
    <t>Mode</t>
  </si>
  <si>
    <t>Status</t>
  </si>
  <si>
    <t>Crusher Main Drive</t>
  </si>
  <si>
    <t>state</t>
  </si>
  <si>
    <t>CR_211MD1</t>
  </si>
  <si>
    <t>N-PLCW1-CR1-ST-SV-CR_211MD1</t>
  </si>
  <si>
    <t>60</t>
  </si>
  <si>
    <t>opc.tcp://10.5.9.43:26080</t>
  </si>
  <si>
    <t>ns=2;s=1:CR_211MD1?Operating</t>
  </si>
  <si>
    <t>a22834c4-cf2c-4e8e-a81d-e823769fe1a2</t>
  </si>
  <si>
    <t>994b5cbf-facc-477c-b8a6-dbb0783fb3cf</t>
  </si>
  <si>
    <t>60000</t>
  </si>
  <si>
    <t>Coal Mill</t>
  </si>
  <si>
    <t>Coal Mill Main Drive</t>
  </si>
  <si>
    <t>CO_L41MD1</t>
  </si>
  <si>
    <t>N-PLCW1-KM1-ST-SV-CO_L41MD1</t>
  </si>
  <si>
    <t>ns=2;s=1:CO_L41MD1?Operating</t>
  </si>
  <si>
    <t>8f686f38-a666-4627-8853-a703057b69e0</t>
  </si>
  <si>
    <t>Raw Mill</t>
  </si>
  <si>
    <t>Mill</t>
  </si>
  <si>
    <t>Main Equipment</t>
  </si>
  <si>
    <t>SP</t>
  </si>
  <si>
    <t>Flow</t>
  </si>
  <si>
    <t>QCX Set Point Weighfeeder-1</t>
  </si>
  <si>
    <t>%</t>
  </si>
  <si>
    <t>RM1_331WF1_FBAI01</t>
  </si>
  <si>
    <t>N-PLCW1-RM1-F-FSP-RM1_331WF1_FBAI01</t>
  </si>
  <si>
    <t>0</t>
  </si>
  <si>
    <t>100</t>
  </si>
  <si>
    <t>TBD</t>
  </si>
  <si>
    <t>ns=2;s=1:RM1_331WF1_FBAI01?Value</t>
  </si>
  <si>
    <t>d61139d5-f8d5-4a5d-b6f1-f366ba064a02</t>
  </si>
  <si>
    <t>QCX Set Point Weighfeeder-2</t>
  </si>
  <si>
    <t>RM1_331WF2_FBAI02</t>
  </si>
  <si>
    <t>N-PLCW1-RM1-F-FSP-RM1_331WF2_FBAI02</t>
  </si>
  <si>
    <t>ns=2;s=1:RM1_331WF2_FBAI02?Value</t>
  </si>
  <si>
    <t>57551374-29e5-4a36-a9e5-d1e8e7209139</t>
  </si>
  <si>
    <t>QCX Set Point Weighfeeder-3</t>
  </si>
  <si>
    <t>RM1_331WF3_FBAI03</t>
  </si>
  <si>
    <t>N-PLCW1-RM1-F-FSP-RM1_331WF3_FBAI03</t>
  </si>
  <si>
    <t>ns=2;s=1:RM1_331WF3_FBAI03?Value</t>
  </si>
  <si>
    <t>445ee3ab-6aa6-4c2f-b7a2-e680cc71111e</t>
  </si>
  <si>
    <t>QCX Set Point Weighfeeder-4</t>
  </si>
  <si>
    <t>RM1_331WF4_FBAI04</t>
  </si>
  <si>
    <t>N-PLCW1-RM1-F-FSP-RM1_331WF4_FBAI04</t>
  </si>
  <si>
    <t>ns=2;s=1:RM1_331WF4_FBAI04?Value</t>
  </si>
  <si>
    <t>b4dfc7c3-a4fa-4244-8b12-3bdfe925cb93</t>
  </si>
  <si>
    <t>QCX Set Point Weighfeeder-5</t>
  </si>
  <si>
    <t>RM1_331WF5_FBAI05</t>
  </si>
  <si>
    <t>N-PLCW1-RM1-F-FSP-RM1_331WF5_FBAI05</t>
  </si>
  <si>
    <t>ns=2;s=1:RM1_331WF5_FBAI05?Value</t>
  </si>
  <si>
    <t>f255fcc0-3d46-444e-b3cd-984e475ad4f9</t>
  </si>
  <si>
    <t>PV</t>
  </si>
  <si>
    <t>Lime Stone Weighfeeder -1 Feed Rate</t>
  </si>
  <si>
    <t>TPH</t>
  </si>
  <si>
    <t>RM1_331WF1_FR</t>
  </si>
  <si>
    <t>N-PLCW1-RM1-F-PV-RM1_331WF1_FR</t>
  </si>
  <si>
    <t>850</t>
  </si>
  <si>
    <t>ns=2;s=1:RM1_331WF1_FR?Value</t>
  </si>
  <si>
    <t>fa6b8603-8aa6-48ce-ad04-c58d5a7eb3a0</t>
  </si>
  <si>
    <t>Lime Stone Weighfeeder -2 Feed Rate</t>
  </si>
  <si>
    <t>RM1_331WF2_FR</t>
  </si>
  <si>
    <t>N-PLCW1-RM1-F-PV-RM1_331WF2_FR</t>
  </si>
  <si>
    <t>ns=2;s=1:RM1_331WF2_FR?Value</t>
  </si>
  <si>
    <t>a4d05724-19b1-46eb-9622-2fc465110847</t>
  </si>
  <si>
    <t>High Grade Lime Stone Weighfeeder -2 Feed Rate</t>
  </si>
  <si>
    <t>RM1_331WF3_FR</t>
  </si>
  <si>
    <t>N-PLCW1-RM1-F-PV-RM1_331WF3_FR</t>
  </si>
  <si>
    <t>80</t>
  </si>
  <si>
    <t>ns=2;s=1:RM1_331WF3_FR?Value</t>
  </si>
  <si>
    <t>9208bcfe-4b16-42f3-80a7-b3bfb473d812</t>
  </si>
  <si>
    <t>Additive-1 Weighfeeder Feed rate</t>
  </si>
  <si>
    <t>RM1_331WF4_FR</t>
  </si>
  <si>
    <t>N-PLCW1-RM1-F-PV-RM1_331WF4_FR</t>
  </si>
  <si>
    <t>35</t>
  </si>
  <si>
    <t>ns=2;s=1:RM1_331WF4_FR?Value</t>
  </si>
  <si>
    <t>1516612b-6631-439f-85ae-f583feb52a46</t>
  </si>
  <si>
    <t>Additive-2 Weighfeeder Feed rate</t>
  </si>
  <si>
    <t>RM1_331WF5_FR</t>
  </si>
  <si>
    <t>N-PLCW1-RM1-F-PV-RM1_331WF5_FR</t>
  </si>
  <si>
    <t>ns=2;s=1:RM1_331WF5_FR?Value</t>
  </si>
  <si>
    <t>85fc7ada-9172-4616-9e88-53ef22f9f576</t>
  </si>
  <si>
    <t>Addetive WF-2 Feed (t/h)</t>
  </si>
  <si>
    <t>RM1_331WF5_FR_B</t>
  </si>
  <si>
    <t>N-PLCW1-RM1-F-PV-RM1_331WF5_FR_B</t>
  </si>
  <si>
    <t>ns=2;s=1:RM1_331WF5_FR_B?Value</t>
  </si>
  <si>
    <t>302d9adc-d4af-45e8-a761-838a5c17367a</t>
  </si>
  <si>
    <t>Raw Mill Feed rate</t>
  </si>
  <si>
    <t>RM1_331WF_TPH_TOT</t>
  </si>
  <si>
    <t>N-PLCW1-RM1-F-PV-RM1_331WF_TPH_TOT</t>
  </si>
  <si>
    <t>ns=2;s=1:RM1_331WF_TPH_TOT?Value</t>
  </si>
  <si>
    <t>8e63f4e6-21f9-4e74-bf52-76dd3019f96f</t>
  </si>
  <si>
    <t>Mill reject feed Rate</t>
  </si>
  <si>
    <t>RM1_361BW1_FR</t>
  </si>
  <si>
    <t>N-PLCW1-RM1-F-PV-RM1_361BW1_FR</t>
  </si>
  <si>
    <t>350</t>
  </si>
  <si>
    <t>ns=2;s=1:RM1_361BW1_FR?Value</t>
  </si>
  <si>
    <t>43b9caf4-3e54-4a2f-93fb-8034716f222c</t>
  </si>
  <si>
    <t>Water Spray Flow measurement</t>
  </si>
  <si>
    <t>m2/hr</t>
  </si>
  <si>
    <t>RM1_361WI1_FT1</t>
  </si>
  <si>
    <t>N-PLCW1-RM1-F-PV-RM1_361WI1_FT1</t>
  </si>
  <si>
    <t>20</t>
  </si>
  <si>
    <t>ns=2;s=1:RM1_361WI1_FT1?Value</t>
  </si>
  <si>
    <t>7a0e3aef-fee5-4d0d-a2e2-b4d9c3690ce8</t>
  </si>
  <si>
    <t>Current</t>
  </si>
  <si>
    <t>RM BH Fan VFD Current</t>
  </si>
  <si>
    <t>amp</t>
  </si>
  <si>
    <t>PH_421FN1_II</t>
  </si>
  <si>
    <t>N-PLCW1-RM1-I-PV-PH_421FN1_II</t>
  </si>
  <si>
    <t>242</t>
  </si>
  <si>
    <t>ns=2;s=1:PH_421FN1_II?Value</t>
  </si>
  <si>
    <t>665863c1-8435-42da-845f-9e1886bf64f9</t>
  </si>
  <si>
    <t>Mill reject Bucket Elevator Current</t>
  </si>
  <si>
    <t>RM1_361BE1_M01II_B</t>
  </si>
  <si>
    <t>N-PLCW1-RM1-I-PV-RM1_361BE1_M01II_B</t>
  </si>
  <si>
    <t>126</t>
  </si>
  <si>
    <t>ns=2;s=1:RM1_361BE1_M01II_B?Value</t>
  </si>
  <si>
    <t>925f0b1f-a410-438f-a500-4eafb0f86472</t>
  </si>
  <si>
    <t>Bucket Elevator Current</t>
  </si>
  <si>
    <t>RM1_391BE1_M01II_B</t>
  </si>
  <si>
    <t>N-PLCW1-RM1-I-PV-RM1_391BE1_M01II_B</t>
  </si>
  <si>
    <t>228</t>
  </si>
  <si>
    <t>ns=2;s=1:RM1_391BE1_M01II_B?Value</t>
  </si>
  <si>
    <t>13ee99e1-35f3-4035-a955-88f1329efbc9</t>
  </si>
  <si>
    <t>RM1_391BE1_M02II_B</t>
  </si>
  <si>
    <t>N-PLCW1-RM1-I-PV-RM1_391BE1_M02II_B</t>
  </si>
  <si>
    <t>ns=2;s=1:RM1_391BE1_M02II_B?Value</t>
  </si>
  <si>
    <t>de34e727-0819-4798-8d47-efb0c3be6eb4</t>
  </si>
  <si>
    <t>Power</t>
  </si>
  <si>
    <t>Mill Main Motor Power</t>
  </si>
  <si>
    <t>kW</t>
  </si>
  <si>
    <t>RABH_HT_MFM4_TOT_ACT_PWR</t>
  </si>
  <si>
    <t>N-PLCW1-RM1-J-PV-RABH_HT_MFM4_TOT_ACT_PWR</t>
  </si>
  <si>
    <t>8400</t>
  </si>
  <si>
    <t>ns=2;s=1:RABH_HT_MFM4_TOT_ACT_PWR?Value</t>
  </si>
  <si>
    <t>6ee2e13b-dede-4742-a72f-dc58d5781a2b</t>
  </si>
  <si>
    <t>RM_Fan_KW</t>
  </si>
  <si>
    <t>RM1_361FN1_JI</t>
  </si>
  <si>
    <t>N-PLCW1-RM1-J-PV-RM1_361FN1_JI</t>
  </si>
  <si>
    <t>ns=2;s=1:RM1_361FN1_JI?Value</t>
  </si>
  <si>
    <t>a1594e5e-cbec-4443-b14c-7374cce8a801</t>
  </si>
  <si>
    <t>RM_MD_KW</t>
  </si>
  <si>
    <t>RM1_361RM1_JI</t>
  </si>
  <si>
    <t>N-PLCW1-RM1-J-PV-RM1_361RM1_JI</t>
  </si>
  <si>
    <t>ns=2;s=1:RM1_361RM1_JI?Value</t>
  </si>
  <si>
    <t>1889e860-98da-453c-98df-d2739bf052c5</t>
  </si>
  <si>
    <t>Bucket Elevator Power</t>
  </si>
  <si>
    <t>RM1_391BE1_M01JI_B</t>
  </si>
  <si>
    <t>N-PLCW1-RM1-J-PV-RM1_391BE1_M01JI_B</t>
  </si>
  <si>
    <t>500</t>
  </si>
  <si>
    <t>ns=2;s=1:RM1_391BE1_M01JI_B?Value</t>
  </si>
  <si>
    <t>222d3ef8-78a6-46fb-ac7d-1cd2d1e4ed58</t>
  </si>
  <si>
    <t>RM1_391BE1_M02JI_B</t>
  </si>
  <si>
    <t>N-PLCW1-RM1-J-PV-RM1_391BE1_M02JI_B</t>
  </si>
  <si>
    <t>ns=2;s=1:RM1_391BE1_M02JI_B?Value</t>
  </si>
  <si>
    <t>a60e565c-2129-443e-80d8-9dd6fdf67567</t>
  </si>
  <si>
    <t>Level</t>
  </si>
  <si>
    <t>Bed Height</t>
  </si>
  <si>
    <t>mm</t>
  </si>
  <si>
    <t>RM1_361HT1_S01AI01</t>
  </si>
  <si>
    <t>N-PLCW1-RM1-L-PV-RM1_361HT1_S01AI01</t>
  </si>
  <si>
    <t>ns=2;s=1:RM1_361HT1_S01AI01?Value</t>
  </si>
  <si>
    <t>40f797ff-aa56-4c8f-b7da-f26923d930f4</t>
  </si>
  <si>
    <t>Blending Silo Level</t>
  </si>
  <si>
    <t>meter</t>
  </si>
  <si>
    <t>RM1_391SB1_LT</t>
  </si>
  <si>
    <t>N-PLCW1-RM1-L-PV-RM1_391SB1_LT</t>
  </si>
  <si>
    <t>37</t>
  </si>
  <si>
    <t>ns=2;s=1:RM1_391SB1_LT?Value</t>
  </si>
  <si>
    <t>71c274bc-1fb0-4e83-acbe-3879cc7e6467</t>
  </si>
  <si>
    <t>Blending Silo Level MT</t>
  </si>
  <si>
    <t>tons</t>
  </si>
  <si>
    <t>RM1_CF_SILO_LVL_MT</t>
  </si>
  <si>
    <t>N-PLCW1-RM1-L-PV-RM1_CF_SILO_LVL_MT</t>
  </si>
  <si>
    <t>15000</t>
  </si>
  <si>
    <t>ns=2;s=1:RM1_CF_SILO_LVL_MT?Value</t>
  </si>
  <si>
    <t>676e3dba-d98c-4aea-9421-c2c8de026203</t>
  </si>
  <si>
    <t>Pressure</t>
  </si>
  <si>
    <t>RM BH Fan VFD Set Point</t>
  </si>
  <si>
    <t>mmWC</t>
  </si>
  <si>
    <t>PH_421FN1_SPSPA</t>
  </si>
  <si>
    <t>N-PLCW1-RM1-P-FSP-PH_421FN1_SPSPA</t>
  </si>
  <si>
    <t>-100</t>
  </si>
  <si>
    <t>ns=2;s=1:PH_421FN1_SPSPA?Value</t>
  </si>
  <si>
    <t>8193319a-2d48-4b7c-a451-e32cada3b0d2</t>
  </si>
  <si>
    <t>Bag House Differnetial Pressure</t>
  </si>
  <si>
    <t>PH_421BF1_DPT</t>
  </si>
  <si>
    <t>N-PLCW1-RM1-P-PV-PH_421BF1_DPT</t>
  </si>
  <si>
    <t>250</t>
  </si>
  <si>
    <t>ns=2;s=1:PH_421BF1_DPT?Value</t>
  </si>
  <si>
    <t>a9d0771f-198a-4549-bc85-f37844b26a4b</t>
  </si>
  <si>
    <t>Preheater Fan Outlet Pressure</t>
  </si>
  <si>
    <t>PH_441FN1_PT02</t>
  </si>
  <si>
    <t>N-PLCW1-RM1-P-PV-PH_441FN1_PT02</t>
  </si>
  <si>
    <t>ns=2;s=1:PH_441FN1_PT02?Value</t>
  </si>
  <si>
    <t>cbdff085-6f4b-4710-86e9-57de4e40fd33</t>
  </si>
  <si>
    <t>Hyd Tension Pressure Roller 1/3</t>
  </si>
  <si>
    <t>bar</t>
  </si>
  <si>
    <t>RM1_361HT1_PT13</t>
  </si>
  <si>
    <t>N-PLCW1-RM1-P-PV-RM1_361HT1_PT13</t>
  </si>
  <si>
    <t>600</t>
  </si>
  <si>
    <t>ns=2;s=1:RM1_361HT1_PT13?Value</t>
  </si>
  <si>
    <t>56d9408c-e1d3-4d2c-af3c-449346e202af</t>
  </si>
  <si>
    <t>Hyd Tension Pressure Roller 2/4</t>
  </si>
  <si>
    <t>RM1_361HT1_PT24</t>
  </si>
  <si>
    <t>N-PLCW1-RM1-P-PV-RM1_361HT1_PT24</t>
  </si>
  <si>
    <t>ns=2;s=1:RM1_361HT1_PT24?Value</t>
  </si>
  <si>
    <t>b10fd39b-7a18-405c-b837-83fc12023457</t>
  </si>
  <si>
    <t>Raw Mill I/L Pressure</t>
  </si>
  <si>
    <t>mbar</t>
  </si>
  <si>
    <t>RM1_361RM1_PT1</t>
  </si>
  <si>
    <t>N-PLCW1-RM1-P-PV-RM1_361RM1_PT1</t>
  </si>
  <si>
    <t>-40</t>
  </si>
  <si>
    <t>5</t>
  </si>
  <si>
    <t>ns=2;s=1:RM1_361RM1_PT1?Value</t>
  </si>
  <si>
    <t>0fc516a1-f869-4f72-b352-42be9878876f</t>
  </si>
  <si>
    <t>Calculated Mill DP</t>
  </si>
  <si>
    <t>RM1_361RM1_PT1_PT2</t>
  </si>
  <si>
    <t>N-PLCW1-RM1-P-PV-RM1_361RM1_PT1_PT2</t>
  </si>
  <si>
    <t>ns=2;s=1:RM1_361RM1_PT1_PT2?Value</t>
  </si>
  <si>
    <t>8674e68a-5714-4830-aaf5-8c39038b28e9</t>
  </si>
  <si>
    <t>Raw Mill O/L Pressure</t>
  </si>
  <si>
    <t>RM1_361RM1_PT3</t>
  </si>
  <si>
    <t>N-PLCW1-RM1-P-PV-RM1_361RM1_PT3</t>
  </si>
  <si>
    <t>ns=2;s=1:RM1_361RM1_PT3?Value</t>
  </si>
  <si>
    <t>a568f0ac-59d8-4fbe-b56c-31a1d40e615c</t>
  </si>
  <si>
    <t>Raw mill Pressure Duct ahead Cylone</t>
  </si>
  <si>
    <t>RM1_361RM1_PT4</t>
  </si>
  <si>
    <t>N-PLCW1-RM1-P-PV-RM1_361RM1_PT4</t>
  </si>
  <si>
    <t>-152</t>
  </si>
  <si>
    <t>ns=2;s=1:RM1_361RM1_PT4?Value</t>
  </si>
  <si>
    <t>d55ae72e-6484-4eeb-ae15-6bec9e4ae36a</t>
  </si>
  <si>
    <t>Raw mill Pressure Duct after Cyclone</t>
  </si>
  <si>
    <t>RM1_361RM1_PT5</t>
  </si>
  <si>
    <t>N-PLCW1-RM1-P-PV-RM1_361RM1_PT5</t>
  </si>
  <si>
    <t>ns=2;s=1:RM1_361RM1_PT5?Value</t>
  </si>
  <si>
    <t>52b6ddde-ff41-4889-beb6-e3a497445078</t>
  </si>
  <si>
    <t>Speed</t>
  </si>
  <si>
    <t>Raw Mill Classifier Speed Set Point</t>
  </si>
  <si>
    <t>RPM</t>
  </si>
  <si>
    <t>RM1_361SR1_SPSPM</t>
  </si>
  <si>
    <t>N-PLCW1-RM1-R-FSP-RM1_361SR1_SPSPM</t>
  </si>
  <si>
    <t>1485</t>
  </si>
  <si>
    <t>ns=2;s=1:RM1_361SR1_SPSPM?Value</t>
  </si>
  <si>
    <t>61317c37-9471-4276-8a17-8fe49b3eca19</t>
  </si>
  <si>
    <t>RM BH Fan VFD SPEED</t>
  </si>
  <si>
    <t>PH_421FN1_SI</t>
  </si>
  <si>
    <t>N-PLCW1-RM1-R-PV-PH_421FN1_SI</t>
  </si>
  <si>
    <t>745</t>
  </si>
  <si>
    <t>ns=2;s=1:PH_421FN1_SI?Value</t>
  </si>
  <si>
    <t>3445e447-ad9d-4b3b-ada3-f20b395d36be</t>
  </si>
  <si>
    <t>RM BH Fan VFD Manual Set Point</t>
  </si>
  <si>
    <t>PH_421FN1_SPSPM</t>
  </si>
  <si>
    <t>N-PLCW1-RM1-R-PV-PH_421FN1_SPSPM</t>
  </si>
  <si>
    <t>ns=2;s=1:PH_421FN1_SPSPM?Value</t>
  </si>
  <si>
    <t>e52ecd11-90db-42f9-af6d-f83f7cb35242</t>
  </si>
  <si>
    <t>Raw Mill Classifier Speed</t>
  </si>
  <si>
    <t>RM1_361SR1_SI</t>
  </si>
  <si>
    <t>N-PLCW1-RM1-R-PV-RM1_361SR1_SI</t>
  </si>
  <si>
    <t>ns=2;s=1:RM1_361SR1_SI?Value</t>
  </si>
  <si>
    <t>ce56f8e1-0c2b-4f37-b415-b68c86e62f27</t>
  </si>
  <si>
    <t>Others</t>
  </si>
  <si>
    <t>Other</t>
  </si>
  <si>
    <t>Position</t>
  </si>
  <si>
    <t>Bed Height (mm)</t>
  </si>
  <si>
    <t>N-PLCW1-RM1-S-PV-RM1_361HT1_S01AI01</t>
  </si>
  <si>
    <t>5c130b0b-60f8-4d45-8e9e-c5c8907f2df3</t>
  </si>
  <si>
    <t>959c1179-a3c0-4745-b667-5a62419dcb40</t>
  </si>
  <si>
    <t>Raw Mill Main Drive</t>
  </si>
  <si>
    <t>RM1_361MD1</t>
  </si>
  <si>
    <t>N-PLCW1-RM1-ST-SV-RM1_361MD1</t>
  </si>
  <si>
    <t>ns=2;s=1:RM1_361MD1?Operating</t>
  </si>
  <si>
    <t>6ffac698-d86c-4a62-8bfc-18fc29fb5744</t>
  </si>
  <si>
    <t>Temperature</t>
  </si>
  <si>
    <t>Raw Mill Inlet Temp</t>
  </si>
  <si>
    <t>deg C</t>
  </si>
  <si>
    <t>RM1_361RM1_TT1</t>
  </si>
  <si>
    <t>N-PLCW1-RM1-T-PV-RM1_361RM1_TT1</t>
  </si>
  <si>
    <t>ns=2;s=1:RM1_361RM1_TT1?Value</t>
  </si>
  <si>
    <t>cdd3907d-f2d4-4093-9a1c-1892f827e1ed</t>
  </si>
  <si>
    <t>Mill outlet temperature (degC)</t>
  </si>
  <si>
    <t>RM1_361RM1_TT2</t>
  </si>
  <si>
    <t>N-PLCW1-RM1-T-PV-RM1_361RM1_TT2</t>
  </si>
  <si>
    <t>ns=2;s=1:RM1_361RM1_TT2?Value</t>
  </si>
  <si>
    <t>1404c241-6982-431e-bcdf-7b849f6230a9</t>
  </si>
  <si>
    <t>Vibration</t>
  </si>
  <si>
    <t xml:space="preserve">Raw Mill Base Vibration </t>
  </si>
  <si>
    <t>mm/sec</t>
  </si>
  <si>
    <t>RM1_361RM1_XT01</t>
  </si>
  <si>
    <t>N-PLCW1-RM1-X-PV-RM1_361RM1_XT01</t>
  </si>
  <si>
    <t>25</t>
  </si>
  <si>
    <t>ns=2;s=1:RM1_361RM1_XT01?Value</t>
  </si>
  <si>
    <t>9a083cf0-1564-4c01-b0a8-160048e0edba</t>
  </si>
  <si>
    <t>Raw Mill Vibration</t>
  </si>
  <si>
    <t>RM1_361RM1_XT02</t>
  </si>
  <si>
    <t>N-PLCW1-RM1-X-PV-RM1_361RM1_XT02</t>
  </si>
  <si>
    <t>ns=2;s=1:RM1_361RM1_XT02?Value</t>
  </si>
  <si>
    <t>b448e217-0062-46b2-b857-a17e5386fdfe</t>
  </si>
  <si>
    <t>Raw Mill Base Vibration Stdby</t>
  </si>
  <si>
    <t>RM1_361RM1_XT03</t>
  </si>
  <si>
    <t>N-PLCW1-RM1-X-PV-RM1_361RM1_XT03</t>
  </si>
  <si>
    <t>ns=2;s=1:RM1_361RM1_XT03?Value</t>
  </si>
  <si>
    <t>75544f7e-afa8-4f2a-abad-bc5f43439454</t>
  </si>
  <si>
    <t>Cement Mill</t>
  </si>
  <si>
    <t xml:space="preserve">QCX SP Clinker Weighfeeder </t>
  </si>
  <si>
    <t>CM_531WI1AI01</t>
  </si>
  <si>
    <t>N-PLCW1-CM1-F-FSP-CM_531WI1AI01</t>
  </si>
  <si>
    <t>ns=2;s=1:CM_531WI1AI01?Value</t>
  </si>
  <si>
    <t>ce95e355-f075-48bb-a12c-5ef7bd7e8f1d</t>
  </si>
  <si>
    <t>QCX SP Gypsum Weighfeeder Feed Rate</t>
  </si>
  <si>
    <t>CM_531WI1AI02</t>
  </si>
  <si>
    <t>N-PLCW1-CM1-F-FSP-CM_531WI1AI02</t>
  </si>
  <si>
    <t>ns=2;s=1:CM_531WI1AI02?Value</t>
  </si>
  <si>
    <t>8f866ede-68a8-44ad-80ac-67627c69b38b</t>
  </si>
  <si>
    <t>QCX SP Additive Weighfeeder Feed Rate</t>
  </si>
  <si>
    <t>CM_531WI1AI03</t>
  </si>
  <si>
    <t>N-PLCW1-CM1-F-FSP-CM_531WI1AI03</t>
  </si>
  <si>
    <t>ns=2;s=1:CM_531WI1AI03?Value</t>
  </si>
  <si>
    <t>79c637e7-7d3d-4656-845a-54a90023a933</t>
  </si>
  <si>
    <t>QCX SP Wet Flyash Weighfeeder Feed Rate</t>
  </si>
  <si>
    <t>CM_531WI1AI04</t>
  </si>
  <si>
    <t>N-PLCW1-CM1-F-FSP-CM_531WI1AI04</t>
  </si>
  <si>
    <t>ns=2;s=1:CM_531WI1AI04?Value</t>
  </si>
  <si>
    <t>4f959ab4-551e-4568-a731-177d4a1c0c1d</t>
  </si>
  <si>
    <t>QCX SP Dry Flyash Feed rate</t>
  </si>
  <si>
    <t>CM_531WI1AI05</t>
  </si>
  <si>
    <t>N-PLCW1-CM1-F-FSP-CM_531WI1AI05</t>
  </si>
  <si>
    <t>ns=2;s=1:CM_531WI1AI05?Value</t>
  </si>
  <si>
    <t>6c172daa-3156-46d9-b8be-a3a7bd63461b</t>
  </si>
  <si>
    <t>Clinker Weighfeeder Feed Rate</t>
  </si>
  <si>
    <t>CM_531WF1_FR</t>
  </si>
  <si>
    <t>N-PLCW1-CM1-F-PV-CM_531WF1_FR</t>
  </si>
  <si>
    <t>400</t>
  </si>
  <si>
    <t>ns=2;s=1:CM_531WF1_FR?Value</t>
  </si>
  <si>
    <t>4d840c26-1f57-40ee-97a9-3a8a465a8f53</t>
  </si>
  <si>
    <t>Gypsum Weighfeeder Feed Rate</t>
  </si>
  <si>
    <t>CM_531WF2_FR</t>
  </si>
  <si>
    <t>N-PLCW1-CM1-F-PV-CM_531WF2_FR</t>
  </si>
  <si>
    <t>40</t>
  </si>
  <si>
    <t>ns=2;s=1:CM_531WF2_FR?Value</t>
  </si>
  <si>
    <t>6064248e-c27f-469c-b409-b1fef72f1a13</t>
  </si>
  <si>
    <t>Additive Weighfeeder Feed Rate</t>
  </si>
  <si>
    <t>CM_531WF3_FR</t>
  </si>
  <si>
    <t>N-PLCW1-CM1-F-PV-CM_531WF3_FR</t>
  </si>
  <si>
    <t>140</t>
  </si>
  <si>
    <t>ns=2;s=1:CM_531WF3_FR?Value</t>
  </si>
  <si>
    <t>c3b0de58-cb96-4772-a43e-a9ea7249c4f6</t>
  </si>
  <si>
    <t>Wet Flyash Weighfeeder Feed Rate</t>
  </si>
  <si>
    <t>CM_531WF4_FR</t>
  </si>
  <si>
    <t>N-PLCW1-CM1-F-PV-CM_531WF4_FR</t>
  </si>
  <si>
    <t>56</t>
  </si>
  <si>
    <t>ns=2;s=1:CM_531WF4_FR?Value</t>
  </si>
  <si>
    <t>df718639-7b33-442e-9d41-41b2148c94b5</t>
  </si>
  <si>
    <t>Mill Reject Belt Weigher tph</t>
  </si>
  <si>
    <t>CM_561BW1_FR</t>
  </si>
  <si>
    <t>N-PLCW1-CM1-F-PV-CM_561BW1_FR</t>
  </si>
  <si>
    <t>220</t>
  </si>
  <si>
    <t>ns=2;s=1:CM_561BW1_FR?Value</t>
  </si>
  <si>
    <t>e6bca153-1343-49ab-beae-7ff7a4e5611f</t>
  </si>
  <si>
    <t>Water Injection System Flow</t>
  </si>
  <si>
    <t>CM_561WI1_FT</t>
  </si>
  <si>
    <t>N-PLCW1-CM1-F-PV-CM_561WI1_FT</t>
  </si>
  <si>
    <t>ns=2;s=1:CM_561WI1_FT?Value</t>
  </si>
  <si>
    <t>43eac930-5ea6-4e0d-b768-d002bc71e8a1</t>
  </si>
  <si>
    <t>Dry Flyash Feed rate</t>
  </si>
  <si>
    <t>CM_K31FM1_FI</t>
  </si>
  <si>
    <t>N-PLCW1-CM1-F-PV-CM_K31FM1_FI</t>
  </si>
  <si>
    <t>160</t>
  </si>
  <si>
    <t>ns=2;s=1:CM_K31FM1_FI?Value</t>
  </si>
  <si>
    <t>dac9b11d-df06-4740-bfaf-df62eac1edd9</t>
  </si>
  <si>
    <t>Mill Feed Rate</t>
  </si>
  <si>
    <t>CM_MAT_FEED_GRP_FBAI01</t>
  </si>
  <si>
    <t>N-PLCW1-CM1-F-PV-CM_MAT_FEED_GRP_FBAI01</t>
  </si>
  <si>
    <t>450</t>
  </si>
  <si>
    <t>ns=2;s=1:CM_MAT_FEED_GRP_FBAI01?Value</t>
  </si>
  <si>
    <t>d93c1da8-c6b6-4a6b-b573-536baffff101</t>
  </si>
  <si>
    <t>Reject Bucket Elevator Current</t>
  </si>
  <si>
    <t>CM_561BE1_M01II_B</t>
  </si>
  <si>
    <t>N-PLCW1-CM1-I-PV-CM_561BE1_M01II_B</t>
  </si>
  <si>
    <t>ns=2;s=1:CM_561BE1_M01II_B?Value</t>
  </si>
  <si>
    <t>03455701-eb6b-4f7a-b922-4185eac5475d</t>
  </si>
  <si>
    <t>CM Bag House Fan Current</t>
  </si>
  <si>
    <t>CM_561FN3_II</t>
  </si>
  <si>
    <t>N-PLCW1-CM1-I-PV-CM_561FN3_II</t>
  </si>
  <si>
    <t>430</t>
  </si>
  <si>
    <t>ns=2;s=1:CM_561FN3_II?Value</t>
  </si>
  <si>
    <t>10d0703d-e3e9-4ab7-8201-f268152983ce</t>
  </si>
  <si>
    <t>CM Bag House Elevator Current</t>
  </si>
  <si>
    <t>CM_591BE1_M01II_B</t>
  </si>
  <si>
    <t>N-PLCW1-CM1-I-PV-CM_591BE1_M01II_B</t>
  </si>
  <si>
    <t>188</t>
  </si>
  <si>
    <t>ns=2;s=1:CM_591BE1_M01II_B?Value</t>
  </si>
  <si>
    <t>c527b054-7312-4b72-b408-e246852c4d3e</t>
  </si>
  <si>
    <t>CM Bag House Fan Power</t>
  </si>
  <si>
    <t>CMSS_HT_MFM9_TOT_ACT_PWR</t>
  </si>
  <si>
    <t>N-PLCW1-CM1-J-PV-CMSS_HT_MFM9_TOT_ACT_PWR</t>
  </si>
  <si>
    <t>8000</t>
  </si>
  <si>
    <t>ns=2;s=1:CMSS_HT_MFM9_TOT_ACT_PWR?Value</t>
  </si>
  <si>
    <t>6c446126-4ae7-4bec-bfa2-f95e59c863cc</t>
  </si>
  <si>
    <t>CM_Fan_KW</t>
  </si>
  <si>
    <t>CM_561FN3_JI</t>
  </si>
  <si>
    <t>N-PLCW1-CM1-J-PV-CM_561FN3_JI</t>
  </si>
  <si>
    <t>ns=2;s=1:CM_561FN3_JI?Value</t>
  </si>
  <si>
    <t>631ac173-8fab-49dc-bf04-0042e99a0882</t>
  </si>
  <si>
    <t>CM MD Motor Power</t>
  </si>
  <si>
    <t>CM_561MD1_JI</t>
  </si>
  <si>
    <t>N-PLCW1-CM1-J-PV-CM_561MD1_JI</t>
  </si>
  <si>
    <t>ns=2;s=1:CM_561MD1_JI?Value</t>
  </si>
  <si>
    <t>44086643-846c-42a7-aa49-2f268d355c94</t>
  </si>
  <si>
    <t>CM Bed Height</t>
  </si>
  <si>
    <t>CM_561HT1_S01AI01</t>
  </si>
  <si>
    <t>N-PLCW1-CM1-L-PV-CM_561HT1_S01AI01</t>
  </si>
  <si>
    <t>ns=2;s=1:CM_561HT1_S01AI01?Value</t>
  </si>
  <si>
    <t>4934cca8-ee8e-4d3c-a34b-41a96c45a6ff</t>
  </si>
  <si>
    <t>Silo-1  OPC-43 level</t>
  </si>
  <si>
    <t>CM_591SBLI1_LT</t>
  </si>
  <si>
    <t>N-PLCW1-CM1-L-PV-CM_591SBLI1_LT</t>
  </si>
  <si>
    <t>29</t>
  </si>
  <si>
    <t>ns=2;s=1:CM_591SBLI1_LT?Value</t>
  </si>
  <si>
    <t>700ac305-ae97-4424-b31b-9ccd8b81c9b8</t>
  </si>
  <si>
    <t>Silo-1  PPC level</t>
  </si>
  <si>
    <t>CM_591SBLI2_LT</t>
  </si>
  <si>
    <t>N-PLCW1-CM1-L-PV-CM_591SBLI2_LT</t>
  </si>
  <si>
    <t>ns=2;s=1:CM_591SBLI2_LT?Value</t>
  </si>
  <si>
    <t>af85648b-995b-4f8d-8de8-221499551257</t>
  </si>
  <si>
    <t>CM_591SBLI3_LT</t>
  </si>
  <si>
    <t>N-PLCW1-CM1-L-PV-CM_591SBLI3_LT</t>
  </si>
  <si>
    <t>ns=2;s=1:CM_591SBLI3_LT?Value</t>
  </si>
  <si>
    <t>bfa563bc-497c-42f0-9b60-65b7c55ee04c</t>
  </si>
  <si>
    <t>Silo-1  OPC-53 level</t>
  </si>
  <si>
    <t>CM_591SBLI4_LT</t>
  </si>
  <si>
    <t>N-PLCW1-CM1-L-PV-CM_591SBLI4_LT</t>
  </si>
  <si>
    <t>ns=2;s=1:CM_591SBLI4_LT?Value</t>
  </si>
  <si>
    <t>ae005971-9a0f-4411-8925-8b54f3ddb539</t>
  </si>
  <si>
    <t>CM_591SBLI5_LT</t>
  </si>
  <si>
    <t>N-PLCW1-CM1-L-PV-CM_591SBLI5_LT</t>
  </si>
  <si>
    <t>ns=2;s=1:CM_591SBLI5_LT?Value</t>
  </si>
  <si>
    <t>25de3fbe-b9cc-4aea-8979-9233e40594a3</t>
  </si>
  <si>
    <t>CM_591SBLI6_LT</t>
  </si>
  <si>
    <t>N-PLCW1-CM1-L-PV-CM_591SBLI6_LT</t>
  </si>
  <si>
    <t>ns=2;s=1:CM_591SBLI6_LT?Value</t>
  </si>
  <si>
    <t>a81d9e87-ab83-4061-9a34-f814d6e14bd1</t>
  </si>
  <si>
    <t>CM Bag House DP</t>
  </si>
  <si>
    <t>CM_561BF3_DPT03</t>
  </si>
  <si>
    <t>N-PLCW1-CM1-P-PV-CM_561BF3_DPT03</t>
  </si>
  <si>
    <t>ns=2;s=1:CM_561BF3_DPT03?Value</t>
  </si>
  <si>
    <t>0629db89-eb9f-4b3b-84f0-bb16d917a3e7</t>
  </si>
  <si>
    <t>CM Bag House O/L pressure</t>
  </si>
  <si>
    <t>CM_561BF3_PT02</t>
  </si>
  <si>
    <t>N-PLCW1-CM1-P-PV-CM_561BF3_PT02</t>
  </si>
  <si>
    <t>ns=2;s=1:CM_561BF3_PT02?Value</t>
  </si>
  <si>
    <t>f3162b43-009b-4364-ae17-e23614954f17</t>
  </si>
  <si>
    <t>CM Bag House I/L pressure</t>
  </si>
  <si>
    <t>CM_561BF3_PT03</t>
  </si>
  <si>
    <t>N-PLCW1-CM1-P-PV-CM_561BF3_PT03</t>
  </si>
  <si>
    <t>ns=2;s=1:CM_561BF3_PT03?Value</t>
  </si>
  <si>
    <t>62fe90ff-a79f-499a-84d1-312fddf207c2</t>
  </si>
  <si>
    <t>Cement Mill I/L Pressure Silo Side</t>
  </si>
  <si>
    <t>CM_561CM1_PT1</t>
  </si>
  <si>
    <t>N-PLCW1-CM1-P-PV-CM_561CM1_PT1</t>
  </si>
  <si>
    <t>ns=2;s=1:CM_561CM1_PT1?Value</t>
  </si>
  <si>
    <t>ac2956a5-0a21-43b3-adb5-4db6caf9ce6d</t>
  </si>
  <si>
    <t>Cement Mill DP</t>
  </si>
  <si>
    <t>CM_561CM1_PT1_PT2</t>
  </si>
  <si>
    <t>N-PLCW1-CM1-P-PV-CM_561CM1_PT1_PT2</t>
  </si>
  <si>
    <t>ns=2;s=1:CM_561CM1_PT1_PT2?Value</t>
  </si>
  <si>
    <t>293d6260-54c4-494b-8d90-ee2668b0ec1f</t>
  </si>
  <si>
    <t>Cement Mill O/L Pressure Silo Side</t>
  </si>
  <si>
    <t>CM_561CM1_PT2</t>
  </si>
  <si>
    <t>N-PLCW1-CM1-P-PV-CM_561CM1_PT2</t>
  </si>
  <si>
    <t>-60</t>
  </si>
  <si>
    <t>ns=2;s=1:CM_561CM1_PT2?Value</t>
  </si>
  <si>
    <t>72102adb-44bd-4ecf-b5e1-fc21855fc21d</t>
  </si>
  <si>
    <t xml:space="preserve">Cement Mill O/L Pressure </t>
  </si>
  <si>
    <t>CM_561CM1_PT3</t>
  </si>
  <si>
    <t>N-PLCW1-CM1-P-PV-CM_561CM1_PT3</t>
  </si>
  <si>
    <t>ns=2;s=1:CM_561CM1_PT3?Value</t>
  </si>
  <si>
    <t>428806e1-68c6-4a03-bde7-6b166b1c70f2</t>
  </si>
  <si>
    <t>Hyd Tension Pressure Roller 1/4</t>
  </si>
  <si>
    <t>CM_561HT1_PT14</t>
  </si>
  <si>
    <t>N-PLCW1-CM1-P-PV-CM_561HT1_PT14</t>
  </si>
  <si>
    <t>ns=2;s=1:CM_561HT1_PT14?Value</t>
  </si>
  <si>
    <t>7b11848f-dfd5-4a66-9c2c-08d314198b90</t>
  </si>
  <si>
    <t>Hyd Tension Pressure Roller 2/5</t>
  </si>
  <si>
    <t>CM_561HT1_PT25</t>
  </si>
  <si>
    <t>N-PLCW1-CM1-P-PV-CM_561HT1_PT25</t>
  </si>
  <si>
    <t>ns=2;s=1:CM_561HT1_PT25?Value</t>
  </si>
  <si>
    <t>d0341353-5567-49d8-bdd9-22ea9e2920ea</t>
  </si>
  <si>
    <t>Hyd Tension Pressure Roller 3/6</t>
  </si>
  <si>
    <t>CM_561HT1_PT36</t>
  </si>
  <si>
    <t>N-PLCW1-CM1-P-PV-CM_561HT1_PT36</t>
  </si>
  <si>
    <t>ns=2;s=1:CM_561HT1_PT36?Value</t>
  </si>
  <si>
    <t>443866ff-39bb-4fa4-8822-7adfa7048a41</t>
  </si>
  <si>
    <t>CM Bag House Fan Speed Set Point</t>
  </si>
  <si>
    <t>CM_561FN3_SPSPM</t>
  </si>
  <si>
    <t>N-PLCW1-CM1-R-FSP-CM_561FN3_SPSPM</t>
  </si>
  <si>
    <t>1000</t>
  </si>
  <si>
    <t>ns=2;s=1:CM_561FN3_SPSPM?Value</t>
  </si>
  <si>
    <t>e63c7db5-3640-4b99-bb8e-e120dcd0b388</t>
  </si>
  <si>
    <t>Cement Mill Classifier speed Set Point</t>
  </si>
  <si>
    <t>CM_561SR1_SPSPM</t>
  </si>
  <si>
    <t>N-PLCW1-CM1-R-FSP-CM_561SR1_SPSPM</t>
  </si>
  <si>
    <t>ns=2;s=1:CM_561SR1_SPSPM?Value</t>
  </si>
  <si>
    <t>55084de0-a312-4f8e-a2c8-c24238891fe1</t>
  </si>
  <si>
    <t>CM Bag House Fan Speed</t>
  </si>
  <si>
    <t>CM_561FN3_SI</t>
  </si>
  <si>
    <t>N-PLCW1-CM1-R-PV-CM_561FN3_SI</t>
  </si>
  <si>
    <t>ns=2;s=1:CM_561FN3_SI?Value</t>
  </si>
  <si>
    <t>1abcaaa2-35fe-4d91-9b10-730a879554fc</t>
  </si>
  <si>
    <t>Cement Mill Classifier speed</t>
  </si>
  <si>
    <t>CM_561SR1_SI</t>
  </si>
  <si>
    <t>N-PLCW1-CM1-R-PV-CM_561SR1_SI</t>
  </si>
  <si>
    <t>ns=2;s=1:CM_561SR1_SI?Value</t>
  </si>
  <si>
    <t>74289d52-3166-42c7-8d69-1f369d7b2456</t>
  </si>
  <si>
    <t>N-PLCW1-CM1-S-PV-CM_561HT1_S01AI01</t>
  </si>
  <si>
    <t>462d666b-f3ef-427b-ba48-2edfd10a5580</t>
  </si>
  <si>
    <t xml:space="preserve">CM_561MD1_RECIPIE </t>
  </si>
  <si>
    <t>N-PLCW1-CM1-ST-PV-CM_561MD1_RECIPIE</t>
  </si>
  <si>
    <t>ns=2;s=1:CM_561MD1_RECIPIE?Value</t>
  </si>
  <si>
    <t>ef1584cd-c7e3-4013-9b7f-df6f7a7f3ee9</t>
  </si>
  <si>
    <t>Cement Mill Main Drive</t>
  </si>
  <si>
    <t>CM_561MD1</t>
  </si>
  <si>
    <t>N-PLCW1-CM1-ST-SV-CM_561MD1</t>
  </si>
  <si>
    <t>ns=2;s=1:CM_561MD1?Operating</t>
  </si>
  <si>
    <t>d82831e3-3921-4e05-ba1e-02036db57ca6</t>
  </si>
  <si>
    <t>Silo-01 Comp-01 Selection</t>
  </si>
  <si>
    <t>CM_591SB1_S01</t>
  </si>
  <si>
    <t>N-PLCW1-CM1-SV-PV-CM_591SB1_S01</t>
  </si>
  <si>
    <t>ns=2;s=1:CM_591SB1_S01?Value</t>
  </si>
  <si>
    <t>a6944809-a01d-44c7-8e62-68da345ab57f</t>
  </si>
  <si>
    <t>Silo-01 Comp-02 Selection</t>
  </si>
  <si>
    <t>CM_591SB1_S02</t>
  </si>
  <si>
    <t>N-PLCW1-CM1-SV-PV-CM_591SB1_S02</t>
  </si>
  <si>
    <t>ns=2;s=1:CM_591SB1_S02?Value</t>
  </si>
  <si>
    <t>6eb6df47-9cf6-4b64-8bae-11228e981691</t>
  </si>
  <si>
    <t>Silo-01 Comp-03 Selection</t>
  </si>
  <si>
    <t>CM_591SB1_S03</t>
  </si>
  <si>
    <t>N-PLCW1-CM1-SV-PV-CM_591SB1_S03</t>
  </si>
  <si>
    <t>ns=2;s=1:CM_591SB1_S03?Value</t>
  </si>
  <si>
    <t>8a6c41e9-591b-4772-a4af-f30225aa9fa6</t>
  </si>
  <si>
    <t>Steel Silo Selection</t>
  </si>
  <si>
    <t>CM_591SGA_S01</t>
  </si>
  <si>
    <t>N-PLCW1-CM1-SV-PV-CM_591SGA_S01</t>
  </si>
  <si>
    <t>ns=2;s=1:CM_591SGA_S01?Value</t>
  </si>
  <si>
    <t>6d87e53a-0766-4516-9085-f3c96fea18dd</t>
  </si>
  <si>
    <t>CM Bag House I/L Temp</t>
  </si>
  <si>
    <t>CM_561BF3_TT1</t>
  </si>
  <si>
    <t>N-PLCW1-CM1-T-PV-CM_561BF3_TT1</t>
  </si>
  <si>
    <t>300</t>
  </si>
  <si>
    <t>ns=2;s=1:CM_561BF3_TT1?Value</t>
  </si>
  <si>
    <t>c0ce7947-befc-4682-a27e-f10e578a33ae</t>
  </si>
  <si>
    <t>CM Bag House O/L Temp</t>
  </si>
  <si>
    <t>CM_561BF3_TT2</t>
  </si>
  <si>
    <t>N-PLCW1-CM1-T-PV-CM_561BF3_TT2</t>
  </si>
  <si>
    <t>ns=2;s=1:CM_561BF3_TT2?Value</t>
  </si>
  <si>
    <t>3fed5711-8693-49d0-b098-dc2b33879dde</t>
  </si>
  <si>
    <t>Cement Mill I/L temp Silo Side</t>
  </si>
  <si>
    <t>CM_561CM1_TT1</t>
  </si>
  <si>
    <t>N-PLCW1-CM1-T-PV-CM_561CM1_TT1</t>
  </si>
  <si>
    <t>ns=2;s=1:CM_561CM1_TT1?Value</t>
  </si>
  <si>
    <t>f9fba845-48b1-4002-9a99-bec3fab15b9f</t>
  </si>
  <si>
    <t xml:space="preserve">Cement Mill O/L temp </t>
  </si>
  <si>
    <t>CM_561CM1_TT2</t>
  </si>
  <si>
    <t>N-PLCW1-CM1-T-PV-CM_561CM1_TT2</t>
  </si>
  <si>
    <t>200</t>
  </si>
  <si>
    <t>ns=2;s=1:CM_561CM1_TT2?Value</t>
  </si>
  <si>
    <t>c3c38146-9b40-4460-b659-746667862475</t>
  </si>
  <si>
    <t>Cement mill GB Base Plate Vibration</t>
  </si>
  <si>
    <t>CM_561CM1_XT01</t>
  </si>
  <si>
    <t>N-PLCW1-CM1-X-PV-CM_561CM1_XT01</t>
  </si>
  <si>
    <t>10</t>
  </si>
  <si>
    <t>ns=2;s=1:CM_561CM1_XT01?Value</t>
  </si>
  <si>
    <t>d3ae7875-0768-44fd-b924-92d9b91f377c</t>
  </si>
  <si>
    <t>Mill GB Body Vibration</t>
  </si>
  <si>
    <t>CM_561CM1_XT03</t>
  </si>
  <si>
    <t>N-PLCW1-CM1-X-PV-CM_561CM1_XT03</t>
  </si>
  <si>
    <t>ns=2;s=1:CM_561CM1_XT03?Value</t>
  </si>
  <si>
    <t>96b29c04-5e8f-4f18-b789-b34ffc57ff7d</t>
  </si>
  <si>
    <t>Cement mill Base Vibration CTC</t>
  </si>
  <si>
    <t>CM_561CM1_XT04</t>
  </si>
  <si>
    <t>N-PLCW1-CM1-X-PV-CM_561CM1_XT04</t>
  </si>
  <si>
    <t>ns=2;s=1:CM_561CM1_XT04?Value</t>
  </si>
  <si>
    <t>85a28c8c-0fb0-4cc9-ba71-31e8280c6595</t>
  </si>
  <si>
    <t>Kiln</t>
  </si>
  <si>
    <t>PC Firing tph Set Point</t>
  </si>
  <si>
    <t>KL_451DQ1_SPSPM</t>
  </si>
  <si>
    <t>N-PLCW1-KL1-F-FSP-KL_451DQ1_SPSPM</t>
  </si>
  <si>
    <t>38</t>
  </si>
  <si>
    <t>ns=2;s=1:KL_451DQ1_SPSPM?Value</t>
  </si>
  <si>
    <t>53375362-c277-4a1e-a8a9-0b0b97d172d4</t>
  </si>
  <si>
    <t>Std By PC Firing tph Set Point</t>
  </si>
  <si>
    <t>KL_451DQ2_SPSPM</t>
  </si>
  <si>
    <t>N-PLCW1-KL1-F-FSP-KL_451DQ2_SPSPM</t>
  </si>
  <si>
    <t>ns=2;s=1:KL_451DQ2_SPSPM?Value</t>
  </si>
  <si>
    <t>3c6a643b-c95e-4afb-b77c-142c7692e622</t>
  </si>
  <si>
    <t>Kiln Coriolis Feed rate</t>
  </si>
  <si>
    <t>KL_481DQ1_FR</t>
  </si>
  <si>
    <t>N-PLCW1-KL1-F-PV-KL_481DQ1_FR</t>
  </si>
  <si>
    <t>23</t>
  </si>
  <si>
    <t>ns=2;s=1:KL_481DQ1_FR?Value</t>
  </si>
  <si>
    <t>932aad4d-1586-4668-bb97-08f37ae9d6df</t>
  </si>
  <si>
    <t>Kiln feed Rotoscale Feed Rate</t>
  </si>
  <si>
    <t>PH_431DQ1_FR</t>
  </si>
  <si>
    <t>N-PLCW1-KL1-F-PV-PH_431DQ1_FR</t>
  </si>
  <si>
    <t>700</t>
  </si>
  <si>
    <t>ns=2;s=1:PH_431DQ1_FR?Value</t>
  </si>
  <si>
    <t>d30e8c2c-386c-4084-af71-4cdaea16bc57</t>
  </si>
  <si>
    <t>Kiln feed SFF Feed Rate</t>
  </si>
  <si>
    <t>PH_431FM1_FR</t>
  </si>
  <si>
    <t>N-PLCW1-KL1-F-PV-PH_431FM1_FR</t>
  </si>
  <si>
    <t>ns=2;s=1:PH_431FM1_FR?Value</t>
  </si>
  <si>
    <t>92b38927-2d50-4a03-8f5a-77506964fb5c</t>
  </si>
  <si>
    <t>Kiln Total Feed</t>
  </si>
  <si>
    <t>TOTALFEED</t>
  </si>
  <si>
    <t>N-PLCW1-KL1-F-PV-TOTALFEED</t>
  </si>
  <si>
    <t>1400</t>
  </si>
  <si>
    <t>ns=2;s=1:TOTALFEED?Value</t>
  </si>
  <si>
    <t>91b9d9d0-1e2d-4e1a-a7ee-f1ebe32f5730</t>
  </si>
  <si>
    <t>Kiln feed BE  Main Drive -1 Current</t>
  </si>
  <si>
    <t>PH_431BE1_M01II_B</t>
  </si>
  <si>
    <t>N-PLCW1-KL1-I-PV-PH_431BE1_M01II_B</t>
  </si>
  <si>
    <t>383</t>
  </si>
  <si>
    <t>ns=2;s=1:PH_431BE1_M01II_B?Value</t>
  </si>
  <si>
    <t>25e86a26-bb8d-42e4-9669-3d9fba42ceb8</t>
  </si>
  <si>
    <t>Kiln feed BE  Main Drive -2 Current</t>
  </si>
  <si>
    <t>PH_431BE1_M02II_B</t>
  </si>
  <si>
    <t>N-PLCW1-KL1-I-PV-PH_431BE1_M02II_B</t>
  </si>
  <si>
    <t>ns=2;s=1:PH_431BE1_M02II_B?Value</t>
  </si>
  <si>
    <t>30638086-84c0-4958-a64b-09efadd97f52</t>
  </si>
  <si>
    <t>PH Fan VFD Current</t>
  </si>
  <si>
    <t>PH_441FN1_II</t>
  </si>
  <si>
    <t>N-PLCW1-KL1-I-PV-PH_441FN1_II</t>
  </si>
  <si>
    <t>506</t>
  </si>
  <si>
    <t>ns=2;s=1:PH_441FN1_II?Value</t>
  </si>
  <si>
    <t>9c6479a9-0877-46e8-8bd2-9a5727ebd93e</t>
  </si>
  <si>
    <t>RM BH Fan VFD Motor Power</t>
  </si>
  <si>
    <t>PH_421FN1_JI</t>
  </si>
  <si>
    <t>N-PLCW1-KL1-J-PV-PH_421FN1_JI</t>
  </si>
  <si>
    <t>2100</t>
  </si>
  <si>
    <t>ns=2;s=1:PH_421FN1_JI?Value</t>
  </si>
  <si>
    <t>482800fc-60a0-475b-b792-9077b6f7a5be</t>
  </si>
  <si>
    <t>PH Fan VFD KW</t>
  </si>
  <si>
    <t>PH_441FN1_JI</t>
  </si>
  <si>
    <t>N-PLCW1-KL1-J-PV-PH_441FN1_JI</t>
  </si>
  <si>
    <t>4600</t>
  </si>
  <si>
    <t>ns=2;s=1:PH_441FN1_JI?Value</t>
  </si>
  <si>
    <t>57735050-c280-43c3-bf9a-1fc8b5a9f2a7</t>
  </si>
  <si>
    <t>Kiln Filling level</t>
  </si>
  <si>
    <t>KL_461KL_FILL</t>
  </si>
  <si>
    <t>N-PLCW1-KL1-L-PV-KL_461KL_FILL</t>
  </si>
  <si>
    <t>ns=2;s=1:KL_461KL_FILL?Value</t>
  </si>
  <si>
    <t>28000d90-f032-4b03-99c1-8fee31b2c89a</t>
  </si>
  <si>
    <t>TAD I/L Pressure</t>
  </si>
  <si>
    <t>KL_461DU1_PT1</t>
  </si>
  <si>
    <t>N-PLCW1-KL1-P-PV-KL_461DU1_PT1</t>
  </si>
  <si>
    <t>-200</t>
  </si>
  <si>
    <t>ns=2;s=1:KL_461DU1_PT1?Value</t>
  </si>
  <si>
    <t>b10e6c00-071b-4df3-9faa-ba9cc1db7ff3</t>
  </si>
  <si>
    <t>TAD I/L Pressure 2.5 Floor</t>
  </si>
  <si>
    <t>KL_461DU1_PT2</t>
  </si>
  <si>
    <t>N-PLCW1-KL1-P-PV-KL_461DU1_PT2</t>
  </si>
  <si>
    <t>ns=2;s=1:KL_461DU1_PT2?Value</t>
  </si>
  <si>
    <t>d1491a2c-5864-4f10-a4a7-46f28e2b7773</t>
  </si>
  <si>
    <t>Kiln Hood Pressure</t>
  </si>
  <si>
    <t>KL_461KL1_PT3</t>
  </si>
  <si>
    <t>N-PLCW1-KL1-P-PV-KL_461KL1_PT3</t>
  </si>
  <si>
    <t>-50</t>
  </si>
  <si>
    <t>50</t>
  </si>
  <si>
    <t>ns=2;s=1:KL_461KL1_PT3?Value</t>
  </si>
  <si>
    <t>a6e8aecc-081a-45af-9894-7e3a1ec5225e</t>
  </si>
  <si>
    <t>Bag House Gas I/L  Chamber 1 Pressure</t>
  </si>
  <si>
    <t>PH_421BF1_PT4</t>
  </si>
  <si>
    <t>N-PLCW1-KL1-P-PV-PH_421BF1_PT4</t>
  </si>
  <si>
    <t>-500</t>
  </si>
  <si>
    <t>ns=2;s=1:PH_421BF1_PT4?Value</t>
  </si>
  <si>
    <t>932c5909-bbc1-434f-8e56-bb138fc9f8b4</t>
  </si>
  <si>
    <t>Down Comer Duct Afetr Junction both string Pressure</t>
  </si>
  <si>
    <t>PH_441DU1_PT</t>
  </si>
  <si>
    <t>N-PLCW1-KL1-P-PV-PH_441DU1_PT</t>
  </si>
  <si>
    <t>-700</t>
  </si>
  <si>
    <t>ns=2;s=1:PH_441DU1_PT?Value</t>
  </si>
  <si>
    <t>66c6f366-a249-44a3-8017-71d07f27cb4b</t>
  </si>
  <si>
    <t>PH Fan I/L Pressure</t>
  </si>
  <si>
    <t>PH_441FN1_PT01</t>
  </si>
  <si>
    <t>N-PLCW1-KL1-P-PV-PH_441FN1_PT01</t>
  </si>
  <si>
    <t>-1000</t>
  </si>
  <si>
    <t>ns=2;s=1:PH_441FN1_PT01?Value</t>
  </si>
  <si>
    <t>5654bd55-5248-4fbe-a669-c277a2480cfc</t>
  </si>
  <si>
    <t>PH Fan O/L Pressure_B</t>
  </si>
  <si>
    <t>PH_441FN1_PT02_B</t>
  </si>
  <si>
    <t>N-PLCW1-KL1-P-PV-PH_441FN1_PT02_B</t>
  </si>
  <si>
    <t>ns=2;s=1:PH_441FN1_PT02_B?Value</t>
  </si>
  <si>
    <t>ab8140fa-613d-44bc-a3e2-cf339c19e37b</t>
  </si>
  <si>
    <t>PH1 Cyclone 1A Exhaust Gas Pressure</t>
  </si>
  <si>
    <t>PH_441PH1_CN1A_PT1</t>
  </si>
  <si>
    <t>N-PLCW1-KL1-P-PV-PH_441PH1_CN1A_PT1</t>
  </si>
  <si>
    <t>ns=2;s=1:PH_441PH1_CN1A_PT1?Value</t>
  </si>
  <si>
    <t>630970d6-15f3-4b43-b8ad-1775e07799db</t>
  </si>
  <si>
    <t>PH_441PH1_CN1A_PT2</t>
  </si>
  <si>
    <t>N-PLCW1-KL1-P-PV-PH_441PH1_CN1A_PT2</t>
  </si>
  <si>
    <t>ns=2;s=1:PH_441PH1_CN1A_PT2?Value</t>
  </si>
  <si>
    <t>a52d4fe1-7ec1-442c-981a-cc93d6e31914</t>
  </si>
  <si>
    <t>PH1 Cyclone 1B Exhaust Gas Pressure</t>
  </si>
  <si>
    <t>PH_441PH1_CN1B_PT1</t>
  </si>
  <si>
    <t>N-PLCW1-KL1-P-PV-PH_441PH1_CN1B_PT1</t>
  </si>
  <si>
    <t>ns=2;s=1:PH_441PH1_CN1B_PT1?Value</t>
  </si>
  <si>
    <t>e43d9657-83f5-4228-8b5e-64989cb114fe</t>
  </si>
  <si>
    <t>PH_441PH1_CN1B_PT2</t>
  </si>
  <si>
    <t>N-PLCW1-KL1-P-PV-PH_441PH1_CN1B_PT2</t>
  </si>
  <si>
    <t>ns=2;s=1:PH_441PH1_CN1B_PT2?Value</t>
  </si>
  <si>
    <t>94706836-26a5-460c-a0c3-7497530a0dbf</t>
  </si>
  <si>
    <t>PH1 Cyclone 2 Exhaust Gas Pressure</t>
  </si>
  <si>
    <t>PH_441PH1_CN2_PT1</t>
  </si>
  <si>
    <t>N-PLCW1-KL1-P-PV-PH_441PH1_CN2_PT1</t>
  </si>
  <si>
    <t>ns=2;s=1:PH_441PH1_CN2_PT1?Value</t>
  </si>
  <si>
    <t>11b2d933-33f7-4a3b-b4eb-8bba7e554d97</t>
  </si>
  <si>
    <t>PH_441PH1_CN2_PT2</t>
  </si>
  <si>
    <t>N-PLCW1-KL1-P-PV-PH_441PH1_CN2_PT2</t>
  </si>
  <si>
    <t>ns=2;s=1:PH_441PH1_CN2_PT2?Value</t>
  </si>
  <si>
    <t>1924d66d-a1b9-49ad-92cb-2990d78483a9</t>
  </si>
  <si>
    <t>PH1 Cyclone 3 Exhaust Gas Pressure</t>
  </si>
  <si>
    <t>PH_441PH1_CN3_PT1</t>
  </si>
  <si>
    <t>N-PLCW1-KL1-P-PV-PH_441PH1_CN3_PT1</t>
  </si>
  <si>
    <t>ns=2;s=1:PH_441PH1_CN3_PT1?Value</t>
  </si>
  <si>
    <t>84af6c52-1c7a-4e89-9b58-d1db118f92c3</t>
  </si>
  <si>
    <t>PH_441PH1_CN3_PT2</t>
  </si>
  <si>
    <t>N-PLCW1-KL1-P-PV-PH_441PH1_CN3_PT2</t>
  </si>
  <si>
    <t>ns=2;s=1:PH_441PH1_CN3_PT2?Value</t>
  </si>
  <si>
    <t>6630111e-946f-4859-a13d-23ef2bf7934f</t>
  </si>
  <si>
    <t>PH1 Cyclone 4 Exhaust Gas Pressure</t>
  </si>
  <si>
    <t>PH_441PH1_CN4_PT1</t>
  </si>
  <si>
    <t>N-PLCW1-KL1-P-PV-PH_441PH1_CN4_PT1</t>
  </si>
  <si>
    <t>ns=2;s=1:PH_441PH1_CN4_PT1?Value</t>
  </si>
  <si>
    <t>0ab97981-85e0-459a-9eeb-32016e6006b0</t>
  </si>
  <si>
    <t>PH_441PH1_CN4_PT2</t>
  </si>
  <si>
    <t>N-PLCW1-KL1-P-PV-PH_441PH1_CN4_PT2</t>
  </si>
  <si>
    <t>ns=2;s=1:PH_441PH1_CN4_PT2?Value</t>
  </si>
  <si>
    <t>1f65f179-eb12-4529-a65c-944e6aeef7cd</t>
  </si>
  <si>
    <t>PH1 Cyclone 5 Exhaust Gas Pressure</t>
  </si>
  <si>
    <t>PH_441PH1_CN5_PT1</t>
  </si>
  <si>
    <t>N-PLCW1-KL1-P-PV-PH_441PH1_CN5_PT1</t>
  </si>
  <si>
    <t>ns=2;s=1:PH_441PH1_CN5_PT1?Value</t>
  </si>
  <si>
    <t>3d611f14-9c87-45e1-a77a-46ff477fbcb6</t>
  </si>
  <si>
    <t>PH_441PH1_CN5_PT2</t>
  </si>
  <si>
    <t>N-PLCW1-KL1-P-PV-PH_441PH1_CN5_PT2</t>
  </si>
  <si>
    <t>ns=2;s=1:PH_441PH1_CN5_PT2?Value</t>
  </si>
  <si>
    <t>5063c688-3532-4342-99ee-4275bc9c36dc</t>
  </si>
  <si>
    <t>PH1 Cyclone 6 Exhaust Gas Pressure</t>
  </si>
  <si>
    <t>PH_441PH1_CN6_PT1</t>
  </si>
  <si>
    <t>N-PLCW1-KL1-P-PV-PH_441PH1_CN6_PT1</t>
  </si>
  <si>
    <t>ns=2;s=1:PH_441PH1_CN6_PT1?Value</t>
  </si>
  <si>
    <t>1d99843f-6ee6-4e5f-8a6f-ff493a2bb478</t>
  </si>
  <si>
    <t>PH_441PH1_CN6_PT2</t>
  </si>
  <si>
    <t>N-PLCW1-KL1-P-PV-PH_441PH1_CN6_PT2</t>
  </si>
  <si>
    <t>ns=2;s=1:PH_441PH1_CN6_PT2?Value</t>
  </si>
  <si>
    <t>674b7f94-4075-4dbc-8a92-0f7d73394613</t>
  </si>
  <si>
    <t>PH2 Cyclone 1A Exhaust Gas Pressure</t>
  </si>
  <si>
    <t>PH_441PH2_CN1A_PT1</t>
  </si>
  <si>
    <t>N-PLCW1-KL1-P-PV-PH_441PH2_CN1A_PT1</t>
  </si>
  <si>
    <t>ns=2;s=1:PH_441PH2_CN1A_PT1?Value</t>
  </si>
  <si>
    <t>a19539bb-c443-4a98-879e-f3661dfa4529</t>
  </si>
  <si>
    <t>PH_441PH2_CN1A_PT2</t>
  </si>
  <si>
    <t>N-PLCW1-KL1-P-PV-PH_441PH2_CN1A_PT2</t>
  </si>
  <si>
    <t>ns=2;s=1:PH_441PH2_CN1A_PT2?Value</t>
  </si>
  <si>
    <t>50dc55ae-dc5c-4791-8db9-374598682ee2</t>
  </si>
  <si>
    <t>PH2 Cyclone 1B Exhaust Gas Pressure</t>
  </si>
  <si>
    <t>PH_441PH2_CN1B_PT1</t>
  </si>
  <si>
    <t>N-PLCW1-KL1-P-PV-PH_441PH2_CN1B_PT1</t>
  </si>
  <si>
    <t>ns=2;s=1:PH_441PH2_CN1B_PT1?Value</t>
  </si>
  <si>
    <t>30e1a54b-cf04-488e-9339-70f90a6e12da</t>
  </si>
  <si>
    <t>PH_441PH2_CN1B_PT2</t>
  </si>
  <si>
    <t>N-PLCW1-KL1-P-PV-PH_441PH2_CN1B_PT2</t>
  </si>
  <si>
    <t>ns=2;s=1:PH_441PH2_CN1B_PT2?Value</t>
  </si>
  <si>
    <t>bd070ce2-a4b8-485b-ba13-9e235d9fc0c7</t>
  </si>
  <si>
    <t>PH2 Cyclone 2 Exhaust Gas Pressure</t>
  </si>
  <si>
    <t>PH_441PH2_CN2_PT1</t>
  </si>
  <si>
    <t>N-PLCW1-KL1-P-PV-PH_441PH2_CN2_PT1</t>
  </si>
  <si>
    <t>ns=2;s=1:PH_441PH2_CN2_PT1?Value</t>
  </si>
  <si>
    <t>12349b25-06f8-4943-9834-a3cc72dc1964</t>
  </si>
  <si>
    <t>PH_441PH2_CN2_PT2</t>
  </si>
  <si>
    <t>N-PLCW1-KL1-P-PV-PH_441PH2_CN2_PT2</t>
  </si>
  <si>
    <t>ns=2;s=1:PH_441PH2_CN2_PT2?Value</t>
  </si>
  <si>
    <t>71bf081e-a4ce-43e5-a07b-d9b42ef705ba</t>
  </si>
  <si>
    <t>PH2 Cyclone 3 Exhaust Gas Pressure</t>
  </si>
  <si>
    <t>PH_441PH2_CN3_PT1</t>
  </si>
  <si>
    <t>N-PLCW1-KL1-P-PV-PH_441PH2_CN3_PT1</t>
  </si>
  <si>
    <t>ns=2;s=1:PH_441PH2_CN3_PT1?Value</t>
  </si>
  <si>
    <t>798f6b8e-c97d-490f-9dd0-649fc5a55958</t>
  </si>
  <si>
    <t>PH_441PH2_CN3_PT2</t>
  </si>
  <si>
    <t>N-PLCW1-KL1-P-PV-PH_441PH2_CN3_PT2</t>
  </si>
  <si>
    <t>ns=2;s=1:PH_441PH2_CN3_PT2?Value</t>
  </si>
  <si>
    <t>a2bac996-8b7c-4718-9cab-26f924e49d31</t>
  </si>
  <si>
    <t>PH2 Cyclone 4 Exhaust Gas Pressure</t>
  </si>
  <si>
    <t>PH_441PH2_CN4_PT1</t>
  </si>
  <si>
    <t>N-PLCW1-KL1-P-PV-PH_441PH2_CN4_PT1</t>
  </si>
  <si>
    <t>ns=2;s=1:PH_441PH2_CN4_PT1?Value</t>
  </si>
  <si>
    <t>716a02c4-0d01-4898-9d5f-0a2261ed8e99</t>
  </si>
  <si>
    <t>PH_441PH2_CN4_PT2</t>
  </si>
  <si>
    <t>N-PLCW1-KL1-P-PV-PH_441PH2_CN4_PT2</t>
  </si>
  <si>
    <t>ns=2;s=1:PH_441PH2_CN4_PT2?Value</t>
  </si>
  <si>
    <t>956a5f01-8346-4caa-87ce-cb6e2de30aaf</t>
  </si>
  <si>
    <t>PH2 Cyclone 5 Exhaust Gas Pressure</t>
  </si>
  <si>
    <t>PH_441PH2_CN5_PT1</t>
  </si>
  <si>
    <t>N-PLCW1-KL1-P-PV-PH_441PH2_CN5_PT1</t>
  </si>
  <si>
    <t>ns=2;s=1:PH_441PH2_CN5_PT1?Value</t>
  </si>
  <si>
    <t>8c948e12-011a-42f4-a1e0-0a58b92dd782</t>
  </si>
  <si>
    <t>PH_441PH2_CN5_PT2</t>
  </si>
  <si>
    <t>N-PLCW1-KL1-P-PV-PH_441PH2_CN5_PT2</t>
  </si>
  <si>
    <t>ns=2;s=1:PH_441PH2_CN5_PT2?Value</t>
  </si>
  <si>
    <t>01191cf5-0b20-43e4-8a88-3eb7384e95fe</t>
  </si>
  <si>
    <t>PH2 Cyclone 6 Exhaust Gas Pressure</t>
  </si>
  <si>
    <t>PH_441PH2_CN6_PT1</t>
  </si>
  <si>
    <t>N-PLCW1-KL1-P-PV-PH_441PH2_CN6_PT1</t>
  </si>
  <si>
    <t>ns=2;s=1:PH_441PH2_CN6_PT1?Value</t>
  </si>
  <si>
    <t>527f3b0b-5eba-4bc8-9e7e-86f0d8609d15</t>
  </si>
  <si>
    <t>PH_441PH2_CN6_PT2</t>
  </si>
  <si>
    <t>N-PLCW1-KL1-P-PV-PH_441PH2_CN6_PT2</t>
  </si>
  <si>
    <t>ns=2;s=1:PH_441PH2_CN6_PT2?Value</t>
  </si>
  <si>
    <t>ac49716e-85a2-42ca-9524-2bce26ffee3b</t>
  </si>
  <si>
    <t>Pre Calciner 1st Floor Top I/L Press.</t>
  </si>
  <si>
    <t>PH_451PR1_PT4</t>
  </si>
  <si>
    <t>N-PLCW1-KL1-P-PV-PH_451PR1_PT4</t>
  </si>
  <si>
    <t>-400</t>
  </si>
  <si>
    <t>ns=2;s=1:PH_451PR1_PT4?Value</t>
  </si>
  <si>
    <t>4ff2bcdd-15ef-417c-aa43-de18e40ae699</t>
  </si>
  <si>
    <t>Kiln I/L Pressure</t>
  </si>
  <si>
    <t>PH_461KL1_PT1</t>
  </si>
  <si>
    <t>N-PLCW1-KL1-P-PV-PH_461KL1_PT1</t>
  </si>
  <si>
    <t>ns=2;s=1:PH_461KL1_PT1?Value</t>
  </si>
  <si>
    <t>fd2132ea-efe6-4dd8-bf2b-d2db645d5701</t>
  </si>
  <si>
    <t>Pre Heater Fan MV VFD Speed Set Point</t>
  </si>
  <si>
    <t>PH_441FN1_SPSPM</t>
  </si>
  <si>
    <t>N-PLCW1-KL1-R-FSP-PH_441FN1_SPSPM</t>
  </si>
  <si>
    <t>ns=2;s=1:PH_441FN1_SPSPM?Value</t>
  </si>
  <si>
    <t>09c62bde-608f-4ac3-9a58-252ec1b106db</t>
  </si>
  <si>
    <t>Kiln Speed</t>
  </si>
  <si>
    <t>KL_461MD1SI_B</t>
  </si>
  <si>
    <t>N-PLCW1-KL1-R-PV-KL_461MD1SI_B</t>
  </si>
  <si>
    <t>ns=2;s=1:KL_461MD1SI_B?Value</t>
  </si>
  <si>
    <t>e3279f1b-3dba-4a73-9a5f-57b9ca6e60c1</t>
  </si>
  <si>
    <t>Jet Air Blower 1Speed</t>
  </si>
  <si>
    <t>KL_481BL1_SI</t>
  </si>
  <si>
    <t>N-PLCW1-KL1-R-PV-KL_481BL1_SI</t>
  </si>
  <si>
    <t>1486</t>
  </si>
  <si>
    <t>ns=2;s=1:KL_481BL1_SI?Value</t>
  </si>
  <si>
    <t>3e863e70-6a9d-416d-98fb-04e7ac28df0d</t>
  </si>
  <si>
    <t>Jet Air Blower 2  Speed</t>
  </si>
  <si>
    <t>KL_481BL2_SI</t>
  </si>
  <si>
    <t>N-PLCW1-KL1-R-PV-KL_481BL2_SI</t>
  </si>
  <si>
    <t>ns=2;s=1:KL_481BL2_SI?Value</t>
  </si>
  <si>
    <t>d0e73b70-2271-4ec9-a2ae-aa52b4e7e391</t>
  </si>
  <si>
    <t>Jet Air Blower 3 Speed</t>
  </si>
  <si>
    <t>KL_481BL3_SI</t>
  </si>
  <si>
    <t>N-PLCW1-KL1-R-PV-KL_481BL3_SI</t>
  </si>
  <si>
    <t>ns=2;s=1:KL_481BL3_SI?Value</t>
  </si>
  <si>
    <t>f85d1df7-c19f-4208-9ca6-d2c706550657</t>
  </si>
  <si>
    <t>Jet Air Blower 4 Speed</t>
  </si>
  <si>
    <t>KL_481BL4_SI</t>
  </si>
  <si>
    <t>N-PLCW1-KL1-R-PV-KL_481BL4_SI</t>
  </si>
  <si>
    <t>ns=2;s=1:KL_481BL4_SI?Value</t>
  </si>
  <si>
    <t>baf32500-26d6-4d50-85a0-49e166486444</t>
  </si>
  <si>
    <t>RM BH Fan VFD Motor Speed</t>
  </si>
  <si>
    <t>PH_421FN1_S1</t>
  </si>
  <si>
    <t>N-PLCW1-KL1-R-PV-PH_421FN1_S1</t>
  </si>
  <si>
    <t>ns=2;s=1:PH_421FN1_S1?Value</t>
  </si>
  <si>
    <t>204aa86e-6112-4a1f-a06b-8648614f10e5</t>
  </si>
  <si>
    <t>Pre Heater Fan MV VFD Speed</t>
  </si>
  <si>
    <t>PH_441FN1_SI</t>
  </si>
  <si>
    <t>N-PLCW1-KL1-R-PV-PH_441FN1_SI</t>
  </si>
  <si>
    <t>ns=2;s=1:PH_441FN1_SI?Value</t>
  </si>
  <si>
    <t>8ddc2cb3-34b7-4847-81dd-de50db16c2e1</t>
  </si>
  <si>
    <t>Kiln Main Drive</t>
  </si>
  <si>
    <t>KL_461MD1</t>
  </si>
  <si>
    <t>N-PLCW1-KL1-ST-SV-KL_461MD1</t>
  </si>
  <si>
    <t>ns=2;s=1:KL_461MD1?Operating</t>
  </si>
  <si>
    <t>66ddc1fa-02cc-483f-8966-0e17cb7d14cc</t>
  </si>
  <si>
    <t>PC Firing Tem Set Point</t>
  </si>
  <si>
    <t>KL_451DQ1_SPSPA</t>
  </si>
  <si>
    <t>N-PLCW1-KL1-T-FSP-KL_451DQ1_SPSPA</t>
  </si>
  <si>
    <t>1200</t>
  </si>
  <si>
    <t>ns=2;s=1:KL_451DQ1_SPSPA?Value</t>
  </si>
  <si>
    <t>0da19f59-a6f4-493d-83ca-5a1ff20c26e5</t>
  </si>
  <si>
    <t>Std By PC Firing Tem Set Point</t>
  </si>
  <si>
    <t>KL_451DQ2_SPSPA</t>
  </si>
  <si>
    <t>N-PLCW1-KL1-T-FSP-KL_451DQ2_SPSPA</t>
  </si>
  <si>
    <t>ns=2;s=1:KL_451DQ2_SPSPA?Value</t>
  </si>
  <si>
    <t>c3c7d256-d27a-4432-9d4b-5069a2bb7b87</t>
  </si>
  <si>
    <t>TAD I/L temp</t>
  </si>
  <si>
    <t>KL_461DU1_TT1</t>
  </si>
  <si>
    <t>N-PLCW1-KL1-T-PV-KL_461DU1_TT1</t>
  </si>
  <si>
    <t>ns=2;s=1:KL_461DU1_TT1?Value</t>
  </si>
  <si>
    <t>c0d1dcc6-8e9b-4750-b2f6-6a9d499f731e</t>
  </si>
  <si>
    <t>TAD I/L temp 2.5 Floor</t>
  </si>
  <si>
    <t>KL_461DU1_TT2</t>
  </si>
  <si>
    <t>N-PLCW1-KL1-T-PV-KL_461DU1_TT2</t>
  </si>
  <si>
    <t>ns=2;s=1:KL_461DU1_TT2?Value</t>
  </si>
  <si>
    <t>c7318f49-856a-4526-819b-9d85fbee3d61</t>
  </si>
  <si>
    <t>Kiln Burning Zone Secondary Gas Temp TT3</t>
  </si>
  <si>
    <t>KL_461KL1_TT4</t>
  </si>
  <si>
    <t>N-PLCW1-KL1-T-PV-KL_461KL1_TT4</t>
  </si>
  <si>
    <t>ns=2;s=1:KL_461KL1_TT4?Value</t>
  </si>
  <si>
    <t>d586c8ae-6b33-4bd6-9fbf-14170f83f16f</t>
  </si>
  <si>
    <t>PC Firing Temp. Feedback</t>
  </si>
  <si>
    <t>KL_PCOL_TEMP</t>
  </si>
  <si>
    <t>N-PLCW1-KL1-T-PV-KL_PCOL_TEMP</t>
  </si>
  <si>
    <t>ns=2;s=1:KL_PCOL_TEMP?Value</t>
  </si>
  <si>
    <t>84e2a2b1-821e-4c3b-9a71-4a67180f14b2</t>
  </si>
  <si>
    <t>Down Comer Duct Afetr Junction both string Temperature</t>
  </si>
  <si>
    <t>PH_441DU1_TT</t>
  </si>
  <si>
    <t>N-PLCW1-KL1-T-PV-PH_441DU1_TT</t>
  </si>
  <si>
    <t>ns=2;s=1:PH_441DU1_TT?Value</t>
  </si>
  <si>
    <t>7dc3784f-0bf4-4010-a79b-51a2eecf3108</t>
  </si>
  <si>
    <t>PH Fan I/L Temp.</t>
  </si>
  <si>
    <t>PH_441FN1_TT01</t>
  </si>
  <si>
    <t>N-PLCW1-KL1-T-PV-PH_441FN1_TT01</t>
  </si>
  <si>
    <t>ns=2;s=1:PH_441FN1_TT01?Value</t>
  </si>
  <si>
    <t>53858551-3f06-4ac5-868a-56f944647135</t>
  </si>
  <si>
    <t>PH1 Cyclone 1A Exhaust Gas Temp.</t>
  </si>
  <si>
    <t>PH_441PH1_CN1A_TT1</t>
  </si>
  <si>
    <t>N-PLCW1-KL1-T-PV-PH_441PH1_CN1A_TT1</t>
  </si>
  <si>
    <t>ns=2;s=1:PH_441PH1_CN1A_TT1?Value</t>
  </si>
  <si>
    <t>7fe07c64-e8cf-4a14-9b9c-edb7671cbad9</t>
  </si>
  <si>
    <t>PH1 Cyclone 1A Exhaust Gas Material Temp.</t>
  </si>
  <si>
    <t>PH_441PH1_CN1A_TT2</t>
  </si>
  <si>
    <t>N-PLCW1-KL1-T-PV-PH_441PH1_CN1A_TT2</t>
  </si>
  <si>
    <t>ns=2;s=1:PH_441PH1_CN1A_TT2?Value</t>
  </si>
  <si>
    <t>b26acac9-a0b9-4c5a-af1b-53102ed0add5</t>
  </si>
  <si>
    <t>PH1 Cyclone 1B Exhaust Gas Temp.</t>
  </si>
  <si>
    <t>PH_441PH1_CN1B_TT1</t>
  </si>
  <si>
    <t>N-PLCW1-KL1-T-PV-PH_441PH1_CN1B_TT1</t>
  </si>
  <si>
    <t>ns=2;s=1:PH_441PH1_CN1B_TT1?Value</t>
  </si>
  <si>
    <t>db0d4365-329a-4f74-8b87-5656ded24397</t>
  </si>
  <si>
    <t>PH1 Cyclone 1B Exhaust Gas Material Temp.</t>
  </si>
  <si>
    <t>PH_441PH1_CN1B_TT2</t>
  </si>
  <si>
    <t>N-PLCW1-KL1-T-PV-PH_441PH1_CN1B_TT2</t>
  </si>
  <si>
    <t>ns=2;s=1:PH_441PH1_CN1B_TT2?Value</t>
  </si>
  <si>
    <t>3f8948ac-97db-4075-819f-6ac54ac8f471</t>
  </si>
  <si>
    <t>PH1 Cyclone 2 Exhaust Gas Temp.</t>
  </si>
  <si>
    <t>PH_441PH1_CN2_TT1</t>
  </si>
  <si>
    <t>N-PLCW1-KL1-T-PV-PH_441PH1_CN2_TT1</t>
  </si>
  <si>
    <t>ns=2;s=1:PH_441PH1_CN2_TT1?Value</t>
  </si>
  <si>
    <t>1e35e897-b0ea-4ce9-8aba-6f6fca3626c7</t>
  </si>
  <si>
    <t>PH1 Cyclone 2 Exhaust Gas Material Temp.</t>
  </si>
  <si>
    <t>PH_441PH1_CN2_TT2</t>
  </si>
  <si>
    <t>N-PLCW1-KL1-T-PV-PH_441PH1_CN2_TT2</t>
  </si>
  <si>
    <t>ns=2;s=1:PH_441PH1_CN2_TT2?Value</t>
  </si>
  <si>
    <t>33b845bc-ab36-420b-a915-ac3a41801a4e</t>
  </si>
  <si>
    <t>PH1 Cyclone 3 Exhaust Gas Temp.</t>
  </si>
  <si>
    <t>PH_441PH1_CN3_TT1</t>
  </si>
  <si>
    <t>N-PLCW1-KL1-T-PV-PH_441PH1_CN3_TT1</t>
  </si>
  <si>
    <t>ns=2;s=1:PH_441PH1_CN3_TT1?Value</t>
  </si>
  <si>
    <t>e85b2b12-832a-4c3b-bf52-9659185f4723</t>
  </si>
  <si>
    <t>PH1 Cyclone 3 Exhaust Gas Material Temp.</t>
  </si>
  <si>
    <t>PH_441PH1_CN3_TT2</t>
  </si>
  <si>
    <t>N-PLCW1-KL1-T-PV-PH_441PH1_CN3_TT2</t>
  </si>
  <si>
    <t>ns=2;s=1:PH_441PH1_CN3_TT2?Value</t>
  </si>
  <si>
    <t>30d2719c-74d5-4ebf-b0a9-138e24e5704b</t>
  </si>
  <si>
    <t>PH1 Cyclone 4 Exhaust Gas Temp.</t>
  </si>
  <si>
    <t>PH_441PH1_CN4_TT1</t>
  </si>
  <si>
    <t>N-PLCW1-KL1-T-PV-PH_441PH1_CN4_TT1</t>
  </si>
  <si>
    <t>ns=2;s=1:PH_441PH1_CN4_TT1?Value</t>
  </si>
  <si>
    <t>04743d45-44f5-4c24-ad25-4666cfec5037</t>
  </si>
  <si>
    <t>PH1 Cyclone 4 Exhaust Gas Material Temp.</t>
  </si>
  <si>
    <t>PH_441PH1_CN4_TT2</t>
  </si>
  <si>
    <t>N-PLCW1-KL1-T-PV-PH_441PH1_CN4_TT2</t>
  </si>
  <si>
    <t>ns=2;s=1:PH_441PH1_CN4_TT2?Value</t>
  </si>
  <si>
    <t>64dc0558-7913-436b-81ea-d9a2499a57f1</t>
  </si>
  <si>
    <t>PH1 Cyclone 5 Exhaust Gas Temp.</t>
  </si>
  <si>
    <t>PH_441PH1_CN5_TT1</t>
  </si>
  <si>
    <t>N-PLCW1-KL1-T-PV-PH_441PH1_CN5_TT1</t>
  </si>
  <si>
    <t>ns=2;s=1:PH_441PH1_CN5_TT1?Value</t>
  </si>
  <si>
    <t>919add56-7707-41b2-8b7d-e07d24d89884</t>
  </si>
  <si>
    <t>PH1 Cyclone 6 Exhaust Gas Temp.</t>
  </si>
  <si>
    <t>PH_441PH1_CN6_TT1</t>
  </si>
  <si>
    <t>N-PLCW1-KL1-T-PV-PH_441PH1_CN6_TT1</t>
  </si>
  <si>
    <t>ns=2;s=1:PH_441PH1_CN6_TT1?Value</t>
  </si>
  <si>
    <t>d0227979-fd64-461d-b17a-a98706fa36f6</t>
  </si>
  <si>
    <t>PH1 Cyclone 6 Exhaust Gas Material Temp.</t>
  </si>
  <si>
    <t>PH_441PH1_CN6_TT2</t>
  </si>
  <si>
    <t>N-PLCW1-KL1-T-PV-PH_441PH1_CN6_TT2</t>
  </si>
  <si>
    <t>ns=2;s=1:PH_441PH1_CN6_TT2?Value</t>
  </si>
  <si>
    <t>4e3f9bd4-4e7c-4445-a864-94d6cee06f67</t>
  </si>
  <si>
    <t>PH2 Cyclone 1A Exhaust Gas Temp.</t>
  </si>
  <si>
    <t>PH_441PH2_CN1A_TT1</t>
  </si>
  <si>
    <t>N-PLCW1-KL1-T-PV-PH_441PH2_CN1A_TT1</t>
  </si>
  <si>
    <t>ns=2;s=1:PH_441PH2_CN1A_TT1?Value</t>
  </si>
  <si>
    <t>9b92568f-98d5-481d-84d1-13ebb4d21ca6</t>
  </si>
  <si>
    <t>PH2 Cyclone 1A Exhaust Gas Material Temp.</t>
  </si>
  <si>
    <t>PH_441PH2_CN1A_TT2</t>
  </si>
  <si>
    <t>N-PLCW1-KL1-T-PV-PH_441PH2_CN1A_TT2</t>
  </si>
  <si>
    <t>ns=2;s=1:PH_441PH2_CN1A_TT2?Value</t>
  </si>
  <si>
    <t>59dba5dd-5289-4856-9957-03033e3e42b8</t>
  </si>
  <si>
    <t>PH2 Cyclone 1B Exhaust Gas Temp.</t>
  </si>
  <si>
    <t>PH_441PH2_CN1B_TT1</t>
  </si>
  <si>
    <t>N-PLCW1-KL1-T-PV-PH_441PH2_CN1B_TT1</t>
  </si>
  <si>
    <t>ns=2;s=1:PH_441PH2_CN1B_TT1?Value</t>
  </si>
  <si>
    <t>ac09563f-2c81-4d85-bf88-3b47c572e873</t>
  </si>
  <si>
    <t>PH2 Cyclone 1B Exhaust Gas Material Temp.</t>
  </si>
  <si>
    <t>PH_441PH2_CN1B_TT2</t>
  </si>
  <si>
    <t>N-PLCW1-KL1-T-PV-PH_441PH2_CN1B_TT2</t>
  </si>
  <si>
    <t>ns=2;s=1:PH_441PH2_CN1B_TT2?Value</t>
  </si>
  <si>
    <t>62ff96d5-6ad2-4321-a8b1-6ad71d1a156c</t>
  </si>
  <si>
    <t>PH2 Cyclone 2 Exhaust Gas Temp.</t>
  </si>
  <si>
    <t>PH_441PH2_CN2_TT1</t>
  </si>
  <si>
    <t>N-PLCW1-KL1-T-PV-PH_441PH2_CN2_TT1</t>
  </si>
  <si>
    <t>ns=2;s=1:PH_441PH2_CN2_TT1?Value</t>
  </si>
  <si>
    <t>70dae622-0fc7-42ba-a419-b3f98915d383</t>
  </si>
  <si>
    <t>PH2 Cyclone 2 Exhaust Gas Material Temp.</t>
  </si>
  <si>
    <t>PH_441PH2_CN2_TT2</t>
  </si>
  <si>
    <t>N-PLCW1-KL1-T-PV-PH_441PH2_CN2_TT2</t>
  </si>
  <si>
    <t>ns=2;s=1:PH_441PH2_CN2_TT2?Value</t>
  </si>
  <si>
    <t>58473436-b78c-4e8f-b274-62d5655a0531</t>
  </si>
  <si>
    <t>PH2 Cyclone 3 Exhaust Gas Temp.</t>
  </si>
  <si>
    <t>PH_441PH2_CN3_TT1</t>
  </si>
  <si>
    <t>N-PLCW1-KL1-T-PV-PH_441PH2_CN3_TT1</t>
  </si>
  <si>
    <t>ns=2;s=1:PH_441PH2_CN3_TT1?Value</t>
  </si>
  <si>
    <t>e416aa7d-3991-4b74-a025-3d621a6f630b</t>
  </si>
  <si>
    <t>PH2 Cyclone 3 Exhaust Gas Material Temp.</t>
  </si>
  <si>
    <t>PH_441PH2_CN3_TT2</t>
  </si>
  <si>
    <t>N-PLCW1-KL1-T-PV-PH_441PH2_CN3_TT2</t>
  </si>
  <si>
    <t>ns=2;s=1:PH_441PH2_CN3_TT2?Value</t>
  </si>
  <si>
    <t>5c8caf0a-6a41-4e25-b9f1-6a3ba0c7794e</t>
  </si>
  <si>
    <t>PH2 Cyclone 4 Exhaust Gas Temp.</t>
  </si>
  <si>
    <t>PH_441PH2_CN4_TT1</t>
  </si>
  <si>
    <t>N-PLCW1-KL1-T-PV-PH_441PH2_CN4_TT1</t>
  </si>
  <si>
    <t>ns=2;s=1:PH_441PH2_CN4_TT1?Value</t>
  </si>
  <si>
    <t>1dfdda3f-e69b-4aef-94b1-d972dd09031e</t>
  </si>
  <si>
    <t>PH2 Cyclone 4 Exhaust Gas Material Temp.</t>
  </si>
  <si>
    <t>PH_441PH2_CN4_TT2</t>
  </si>
  <si>
    <t>N-PLCW1-KL1-T-PV-PH_441PH2_CN4_TT2</t>
  </si>
  <si>
    <t>ns=2;s=1:PH_441PH2_CN4_TT2?Value</t>
  </si>
  <si>
    <t>57e7929b-c1e4-42f1-b570-356ee158d9a8</t>
  </si>
  <si>
    <t>PH2 Cyclone 5 Exhaust Gas Temp.</t>
  </si>
  <si>
    <t>PH_441PH2_CN5_TT1</t>
  </si>
  <si>
    <t>N-PLCW1-KL1-T-PV-PH_441PH2_CN5_TT1</t>
  </si>
  <si>
    <t>ns=2;s=1:PH_441PH2_CN5_TT1?Value</t>
  </si>
  <si>
    <t>7f8aeff2-bc5f-4b84-9fc9-23e4ffab0517</t>
  </si>
  <si>
    <t>PH2 Cyclone 6 Exhaust Gas Temp.</t>
  </si>
  <si>
    <t>PH_441PH2_CN6_TT1</t>
  </si>
  <si>
    <t>N-PLCW1-KL1-T-PV-PH_441PH2_CN6_TT1</t>
  </si>
  <si>
    <t>ns=2;s=1:PH_441PH2_CN6_TT1?Value</t>
  </si>
  <si>
    <t>89f1127d-00fe-4698-8138-b0f320df3eaf</t>
  </si>
  <si>
    <t>PH2 Cyclone 6 Exhaust Gas Material Temp.</t>
  </si>
  <si>
    <t>PH_441PH2_CN6_TT2</t>
  </si>
  <si>
    <t>N-PLCW1-KL1-T-PV-PH_441PH2_CN6_TT2</t>
  </si>
  <si>
    <t>ns=2;s=1:PH_441PH2_CN6_TT2?Value</t>
  </si>
  <si>
    <t>e5e92fb1-b34c-43e7-aa9c-0e80f3f4a864</t>
  </si>
  <si>
    <t>Pre Calciner O/L Temp 5th Floor</t>
  </si>
  <si>
    <t>PH_451PR1_TT1</t>
  </si>
  <si>
    <t>N-PLCW1-KL1-T-PV-PH_451PR1_TT1</t>
  </si>
  <si>
    <t>ns=2;s=1:PH_451PR1_TT1?Value</t>
  </si>
  <si>
    <t>f74b07f4-bbbc-458c-81bb-7cbb45cd9cbe</t>
  </si>
  <si>
    <t>Pre Calciner 1st Floor Top I/L Temp.</t>
  </si>
  <si>
    <t>PH_451PR1_TT5</t>
  </si>
  <si>
    <t>N-PLCW1-KL1-T-PV-PH_451PR1_TT5</t>
  </si>
  <si>
    <t>ns=2;s=1:PH_451PR1_TT5?Value</t>
  </si>
  <si>
    <t>ac9c0c58-b016-4e17-8904-b2c5ee57c146</t>
  </si>
  <si>
    <t>Kiln I/L temp</t>
  </si>
  <si>
    <t>PH_461KL1_TT1</t>
  </si>
  <si>
    <t>N-PLCW1-KL1-T-PV-PH_461KL1_TT1</t>
  </si>
  <si>
    <t>ns=2;s=1:PH_461KL1_TT1?Value</t>
  </si>
  <si>
    <t>8cbc63bb-3021-45c7-b9ce-908d4e804e7d</t>
  </si>
  <si>
    <t>General</t>
  </si>
  <si>
    <t>Wind Speed</t>
  </si>
  <si>
    <t>WIND_SPEED_HIGH</t>
  </si>
  <si>
    <t>N-PLCW1-OT1-ST-SV-WIND_SPEED_HIGH</t>
  </si>
  <si>
    <t>ns=2;s=1:WIND_SPEED_HIGH?Operating</t>
  </si>
  <si>
    <t>22b9dadd-b4f4-45a9-953a-6e651fc074c1</t>
  </si>
  <si>
    <t>Cooler</t>
  </si>
  <si>
    <t>Cooler Fan-1 Flow Set Point</t>
  </si>
  <si>
    <t>m3/min</t>
  </si>
  <si>
    <t>CL_471FN1_SPSPA</t>
  </si>
  <si>
    <t>N-PLCW1-CL1-F-FSP-CL_471FN1_SPSPA</t>
  </si>
  <si>
    <t>ns=2;s=1:CL_471FN1_SPSPA?Value</t>
  </si>
  <si>
    <t>78729871-5356-47f8-8a7b-7ce9b1b409a0</t>
  </si>
  <si>
    <t>Cooler FAN-2 Flow Set Point</t>
  </si>
  <si>
    <t>CL_471FN2_SPSPA</t>
  </si>
  <si>
    <t>N-PLCW1-CL1-F-FSP-CL_471FN2_SPSPA</t>
  </si>
  <si>
    <t>ns=2;s=1:CL_471FN2_SPSPA?Value</t>
  </si>
  <si>
    <t>93cadfe7-a703-4660-8d0a-326c6e9c7cbf</t>
  </si>
  <si>
    <t>Cooler FAN-3 Flow Set Point</t>
  </si>
  <si>
    <t>CL_471FN3_SPSPA</t>
  </si>
  <si>
    <t>N-PLCW1-CL1-F-FSP-CL_471FN3_SPSPA</t>
  </si>
  <si>
    <t>ns=2;s=1:CL_471FN3_SPSPA?Value</t>
  </si>
  <si>
    <t>ccc9d3bb-fac3-49b9-a22b-ea7b7c2325d6</t>
  </si>
  <si>
    <t>Cooler FAN-4 Flow Set Point</t>
  </si>
  <si>
    <t>CL_471FN4_SPSPA</t>
  </si>
  <si>
    <t>N-PLCW1-CL1-F-FSP-CL_471FN4_SPSPA</t>
  </si>
  <si>
    <t>ns=2;s=1:CL_471FN4_SPSPA?Value</t>
  </si>
  <si>
    <t>807da172-7d16-4709-8e1b-ab1052cbc75a</t>
  </si>
  <si>
    <t>Cooler FAN-5 Flow Set Point</t>
  </si>
  <si>
    <t>CL_471FN5_SPSPA</t>
  </si>
  <si>
    <t>N-PLCW1-CL1-F-FSP-CL_471FN5_SPSPA</t>
  </si>
  <si>
    <t>ns=2;s=1:CL_471FN5_SPSPA?Value</t>
  </si>
  <si>
    <t>cbac3620-11b7-45fc-89d2-f1d82b71d9df</t>
  </si>
  <si>
    <t>Cooler FAN-6 Flow Set Point</t>
  </si>
  <si>
    <t>CL_471FN6_SPSPA</t>
  </si>
  <si>
    <t>N-PLCW1-CL1-F-FSP-CL_471FN6_SPSPA</t>
  </si>
  <si>
    <t>ns=2;s=1:CL_471FN6_SPSPA?Value</t>
  </si>
  <si>
    <t>fbee6d6b-f313-4a75-af55-8101ae3e1225</t>
  </si>
  <si>
    <t>Cooler FAN-7 Flow Set Point</t>
  </si>
  <si>
    <t>CL_471FN7_SPSPA</t>
  </si>
  <si>
    <t>N-PLCW1-CL1-F-FSP-CL_471FN7_SPSPA</t>
  </si>
  <si>
    <t>ns=2;s=1:CL_471FN7_SPSPA?Value</t>
  </si>
  <si>
    <t>3f9a387f-5949-42c8-8d19-14a0b94651fc</t>
  </si>
  <si>
    <t>Cooler FAN-8 Flow Set Point</t>
  </si>
  <si>
    <t>CL_471FN8_SPSPA</t>
  </si>
  <si>
    <t>N-PLCW1-CL1-F-FSP-CL_471FN8_SPSPA</t>
  </si>
  <si>
    <t>ns=2;s=1:CL_471FN8_SPSPA?Value</t>
  </si>
  <si>
    <t>a4733aeb-d746-4ba3-a22a-ba4efbd699b8</t>
  </si>
  <si>
    <t>Cooler FAN-9 Flow Set Point</t>
  </si>
  <si>
    <t>CL_471FN9_SPSPA</t>
  </si>
  <si>
    <t>N-PLCW1-CL1-F-FSP-CL_471FN9_SPSPA</t>
  </si>
  <si>
    <t>ns=2;s=1:CL_471FN9_SPSPA?Value</t>
  </si>
  <si>
    <t>3045347b-4572-496a-a36c-0456a7bbc26f</t>
  </si>
  <si>
    <t>Cooler FAN-A Flow Set Point</t>
  </si>
  <si>
    <t>CL_471FNA_SPSPA</t>
  </si>
  <si>
    <t>N-PLCW1-CL1-F-FSP-CL_471FNA_SPSPA</t>
  </si>
  <si>
    <t>ns=2;s=1:CL_471FNA_SPSPA?Value</t>
  </si>
  <si>
    <t>ce033c9b-8df7-4a69-8a4d-57ea384e2a19</t>
  </si>
  <si>
    <t>Cooler FAN-B Flow Set Point</t>
  </si>
  <si>
    <t>CL_471FNB_SPSPA</t>
  </si>
  <si>
    <t>N-PLCW1-CL1-F-FSP-CL_471FNB_SPSPA</t>
  </si>
  <si>
    <t>ns=2;s=1:CL_471FNB_SPSPA?Value</t>
  </si>
  <si>
    <t>c2345875-d4b5-4740-89be-6b4566330ef0</t>
  </si>
  <si>
    <t>Cooler FAN-C Flow Set Point</t>
  </si>
  <si>
    <t>CL_471FNC_SPSPA</t>
  </si>
  <si>
    <t>N-PLCW1-CL1-F-FSP-CL_471FNC_SPSPA</t>
  </si>
  <si>
    <t>ns=2;s=1:CL_471FNC_SPSPA?Value</t>
  </si>
  <si>
    <t>f1b940b6-5d7d-4802-b243-f5662c3684d4</t>
  </si>
  <si>
    <t>Cooler FAN-D Flow Set Point</t>
  </si>
  <si>
    <t>CL_471FND_SPSPA</t>
  </si>
  <si>
    <t>N-PLCW1-CL1-F-FSP-CL_471FND_SPSPA</t>
  </si>
  <si>
    <t>ns=2;s=1:CL_471FND_SPSPA?Value</t>
  </si>
  <si>
    <t>f51842e3-e8ba-40a1-8b7c-07ea9f43098f</t>
  </si>
  <si>
    <t>Cooler Fan-1 Flow</t>
  </si>
  <si>
    <t>CL_471FN1_FT1</t>
  </si>
  <si>
    <t>N-PLCW1-CL1-F-PV-CL_471FN1_FT1</t>
  </si>
  <si>
    <t>483</t>
  </si>
  <si>
    <t>ns=2;s=1:CL_471FN1_FT1?Value</t>
  </si>
  <si>
    <t>52f59850-8db5-4ff3-833a-3b8c150a1072</t>
  </si>
  <si>
    <t>Cooler FAN-2 Flow</t>
  </si>
  <si>
    <t>CL_471FN2_FT1</t>
  </si>
  <si>
    <t>N-PLCW1-CL1-F-PV-CL_471FN2_FT1</t>
  </si>
  <si>
    <t>ns=2;s=1:CL_471FN2_FT1?Value</t>
  </si>
  <si>
    <t>9be4bf0d-63e5-4543-a176-5a435abf96ef</t>
  </si>
  <si>
    <t>Cooler FAN-3 Flow</t>
  </si>
  <si>
    <t>CL_471FN3_FT1</t>
  </si>
  <si>
    <t>N-PLCW1-CL1-F-PV-CL_471FN3_FT1</t>
  </si>
  <si>
    <t>ns=2;s=1:CL_471FN3_FT1?Value</t>
  </si>
  <si>
    <t>ec81f7b5-f894-4ab8-8b52-f0b4cd7f4fb0</t>
  </si>
  <si>
    <t>Cooler FAN-4 Flow</t>
  </si>
  <si>
    <t>CL_471FN4_FT1</t>
  </si>
  <si>
    <t>N-PLCW1-CL1-F-PV-CL_471FN4_FT1</t>
  </si>
  <si>
    <t>ns=2;s=1:CL_471FN4_FT1?Value</t>
  </si>
  <si>
    <t>af692426-4593-4c71-99ac-7c546ee9a1e8</t>
  </si>
  <si>
    <t>Cooler FAN-5 Flow</t>
  </si>
  <si>
    <t>CL_471FN5_FT1</t>
  </si>
  <si>
    <t>N-PLCW1-CL1-F-PV-CL_471FN5_FT1</t>
  </si>
  <si>
    <t>ns=2;s=1:CL_471FN5_FT1?Value</t>
  </si>
  <si>
    <t>4ea2e9b3-3f84-40f3-9b37-86b3f1463f75</t>
  </si>
  <si>
    <t>Cooler FAN-6 Flow</t>
  </si>
  <si>
    <t>CL_471FN6_FT1</t>
  </si>
  <si>
    <t>N-PLCW1-CL1-F-PV-CL_471FN6_FT1</t>
  </si>
  <si>
    <t>ns=2;s=1:CL_471FN6_FT1?Value</t>
  </si>
  <si>
    <t>cf9357a1-7553-4bf5-9984-01cf67496649</t>
  </si>
  <si>
    <t>Cooler FAN-7 Flow</t>
  </si>
  <si>
    <t>CL_471FN7_FT1</t>
  </si>
  <si>
    <t>N-PLCW1-CL1-F-PV-CL_471FN7_FT1</t>
  </si>
  <si>
    <t>ns=2;s=1:CL_471FN7_FT1?Value</t>
  </si>
  <si>
    <t>c98e2f4e-adff-426b-99a6-abeb2d3bbaed</t>
  </si>
  <si>
    <t>Cooler FAN-8 Flow</t>
  </si>
  <si>
    <t>CL_471FN8_FT1</t>
  </si>
  <si>
    <t>N-PLCW1-CL1-F-PV-CL_471FN8_FT1</t>
  </si>
  <si>
    <t>ns=2;s=1:CL_471FN8_FT1?Value</t>
  </si>
  <si>
    <t>0aad3508-e604-4c75-a686-7d27097575fa</t>
  </si>
  <si>
    <t>Cooler FAN-9 Flow</t>
  </si>
  <si>
    <t>CL_471FN9_FT1</t>
  </si>
  <si>
    <t>N-PLCW1-CL1-F-PV-CL_471FN9_FT1</t>
  </si>
  <si>
    <t>ns=2;s=1:CL_471FN9_FT1?Value</t>
  </si>
  <si>
    <t>cec038be-7d8b-47df-b622-ac7844ed9cb3</t>
  </si>
  <si>
    <t>Cooler FAN-A Flow</t>
  </si>
  <si>
    <t>CL_471FNA_FT1</t>
  </si>
  <si>
    <t>N-PLCW1-CL1-F-PV-CL_471FNA_FT1</t>
  </si>
  <si>
    <t>ns=2;s=1:CL_471FNA_FT1?Value</t>
  </si>
  <si>
    <t>73e538bd-6fb7-4d06-a0a9-4c6017486766</t>
  </si>
  <si>
    <t>Cooler FAN-B Flow</t>
  </si>
  <si>
    <t>CL_471FNB_FT1</t>
  </si>
  <si>
    <t>N-PLCW1-CL1-F-PV-CL_471FNB_FT1</t>
  </si>
  <si>
    <t>ns=2;s=1:CL_471FNB_FT1?Value</t>
  </si>
  <si>
    <t>20f0d5f4-31c3-477e-9935-e27ae6d91a24</t>
  </si>
  <si>
    <t>Cooler FAN-C Flow</t>
  </si>
  <si>
    <t>CL_471FNC_FT1</t>
  </si>
  <si>
    <t>N-PLCW1-CL1-F-PV-CL_471FNC_FT1</t>
  </si>
  <si>
    <t>ns=2;s=1:CL_471FNC_FT1?Value</t>
  </si>
  <si>
    <t>70e81d06-fca4-4a38-86f0-7a9ccfdc779d</t>
  </si>
  <si>
    <t>Cooler FAN-D Flow</t>
  </si>
  <si>
    <t>CL_471FND_FT1</t>
  </si>
  <si>
    <t>N-PLCW1-CL1-F-PV-CL_471FND_FT1</t>
  </si>
  <si>
    <t>ns=2;s=1:CL_471FND_FT1?Value</t>
  </si>
  <si>
    <t>912ae3b8-96c9-42d7-92c8-dac09395c1ac</t>
  </si>
  <si>
    <t>Cooler Fan-1 Current</t>
  </si>
  <si>
    <t>CL_471FN1_II</t>
  </si>
  <si>
    <t>N-PLCW1-CL1-I-PV-CL_471FN1_II</t>
  </si>
  <si>
    <t>ns=2;s=1:CL_471FN1_II?Value</t>
  </si>
  <si>
    <t>4bd8be01-24a1-48aa-8703-51252d51cb12</t>
  </si>
  <si>
    <t>Cooler FAN-2 Current</t>
  </si>
  <si>
    <t>CL_471FN2_II</t>
  </si>
  <si>
    <t>N-PLCW1-CL1-I-PV-CL_471FN2_II</t>
  </si>
  <si>
    <t>ns=2;s=1:CL_471FN2_II?Value</t>
  </si>
  <si>
    <t>84f1b4f3-c7da-4e7b-8e9b-8b902116face</t>
  </si>
  <si>
    <t>Cooler FAN-3 Current</t>
  </si>
  <si>
    <t>CL_471FN3_II</t>
  </si>
  <si>
    <t>N-PLCW1-CL1-I-PV-CL_471FN3_II</t>
  </si>
  <si>
    <t>ns=2;s=1:CL_471FN3_II?Value</t>
  </si>
  <si>
    <t>bd71d427-a6c3-4dfc-84ed-2e3ef0c35b3c</t>
  </si>
  <si>
    <t>Cooler FAN-4 Current</t>
  </si>
  <si>
    <t>CL_471FN4_II</t>
  </si>
  <si>
    <t>N-PLCW1-CL1-I-PV-CL_471FN4_II</t>
  </si>
  <si>
    <t>ns=2;s=1:CL_471FN4_II?Value</t>
  </si>
  <si>
    <t>26a65105-62b3-4956-81fe-f05f6fb58cda</t>
  </si>
  <si>
    <t>Cooler FAN-5 Current</t>
  </si>
  <si>
    <t>CL_471FN5_II</t>
  </si>
  <si>
    <t>N-PLCW1-CL1-I-PV-CL_471FN5_II</t>
  </si>
  <si>
    <t>ns=2;s=1:CL_471FN5_II?Value</t>
  </si>
  <si>
    <t>5c915d52-c81a-4105-8c26-2739e21d50c0</t>
  </si>
  <si>
    <t>Cooler FAN-6 Current</t>
  </si>
  <si>
    <t>CL_471FN6_II</t>
  </si>
  <si>
    <t>N-PLCW1-CL1-I-PV-CL_471FN6_II</t>
  </si>
  <si>
    <t>ns=2;s=1:CL_471FN6_II?Value</t>
  </si>
  <si>
    <t>d2440ff0-37b4-4709-9660-e564e0678572</t>
  </si>
  <si>
    <t>Cooler FAN-7 Current</t>
  </si>
  <si>
    <t>CL_471FN7_II</t>
  </si>
  <si>
    <t>N-PLCW1-CL1-I-PV-CL_471FN7_II</t>
  </si>
  <si>
    <t>ns=2;s=1:CL_471FN7_II?Value</t>
  </si>
  <si>
    <t>1cfe8eb8-cb0d-41e3-b3fe-bbd5a5aabe6f</t>
  </si>
  <si>
    <t>Cooler FAN-8 Current</t>
  </si>
  <si>
    <t>CL_471FN8_II</t>
  </si>
  <si>
    <t>N-PLCW1-CL1-I-PV-CL_471FN8_II</t>
  </si>
  <si>
    <t>ns=2;s=1:CL_471FN8_II?Value</t>
  </si>
  <si>
    <t>60cedefd-1787-4cc6-a2d9-35379e039bc8</t>
  </si>
  <si>
    <t>Cooler FAN-9 Current</t>
  </si>
  <si>
    <t>CL_471FN9_II</t>
  </si>
  <si>
    <t>N-PLCW1-CL1-I-PV-CL_471FN9_II</t>
  </si>
  <si>
    <t>ns=2;s=1:CL_471FN9_II?Value</t>
  </si>
  <si>
    <t>5a2e77c2-891b-4422-8b02-7d2647eb5327</t>
  </si>
  <si>
    <t>Cooler FAN-A Current</t>
  </si>
  <si>
    <t>CL_471FNA_II</t>
  </si>
  <si>
    <t>N-PLCW1-CL1-I-PV-CL_471FNA_II</t>
  </si>
  <si>
    <t>ns=2;s=1:CL_471FNA_II?Value</t>
  </si>
  <si>
    <t>ad79ab41-edfc-4d23-bf51-03ce1b5240eb</t>
  </si>
  <si>
    <t>Cooler FAN-B Current</t>
  </si>
  <si>
    <t>CL_471FNB_II</t>
  </si>
  <si>
    <t>N-PLCW1-CL1-I-PV-CL_471FNB_II</t>
  </si>
  <si>
    <t>ns=2;s=1:CL_471FNB_II?Value</t>
  </si>
  <si>
    <t>fdf78454-936d-4514-bd18-9a76c8291b8e</t>
  </si>
  <si>
    <t>Cooler FAN-C Current</t>
  </si>
  <si>
    <t>CL_471FNC_II</t>
  </si>
  <si>
    <t>N-PLCW1-CL1-I-PV-CL_471FNC_II</t>
  </si>
  <si>
    <t>ns=2;s=1:CL_471FNC_II?Value</t>
  </si>
  <si>
    <t>3d1821fb-333d-4af1-aad6-87038c5a4a4b</t>
  </si>
  <si>
    <t>Cooler FAN-D Current</t>
  </si>
  <si>
    <t>CL_471FND_II</t>
  </si>
  <si>
    <t>N-PLCW1-CL1-I-PV-CL_471FND_II</t>
  </si>
  <si>
    <t>ns=2;s=1:CL_471FND_II?Value</t>
  </si>
  <si>
    <t>5f9ca3df-f900-4353-a7ee-8b3bfca86359</t>
  </si>
  <si>
    <t>Cooler ESP Fan Current</t>
  </si>
  <si>
    <t>CL_471FNF_II</t>
  </si>
  <si>
    <t>N-PLCW1-CL1-I-PV-CL_471FNF_II</t>
  </si>
  <si>
    <t>975</t>
  </si>
  <si>
    <t>ns=2;s=1:CL_471FNF_II?Value</t>
  </si>
  <si>
    <t>79c4a22c-a86f-4581-901f-7adbc8f367a5</t>
  </si>
  <si>
    <t>Roller Crusher-1 Current</t>
  </si>
  <si>
    <t>CL_471RC1II_B</t>
  </si>
  <si>
    <t>N-PLCW1-CL1-I-PV-CL_471RC1II_B</t>
  </si>
  <si>
    <t>28</t>
  </si>
  <si>
    <t>ns=2;s=1:CL_471RC1II_B?Value</t>
  </si>
  <si>
    <t>e926897e-d889-48f5-a0be-4a89b8d000de</t>
  </si>
  <si>
    <t>Roller Crusher-3 Current</t>
  </si>
  <si>
    <t>CL_471RC3II_B</t>
  </si>
  <si>
    <t>N-PLCW1-CL1-I-PV-CL_471RC3II_B</t>
  </si>
  <si>
    <t>ns=2;s=1:CL_471RC3II_B?Value</t>
  </si>
  <si>
    <t>e0e935dd-d341-4f2e-ba4b-6e83f780ef11</t>
  </si>
  <si>
    <t>Roller Crusher-5 Current</t>
  </si>
  <si>
    <t>CL_471RC5II_B</t>
  </si>
  <si>
    <t>N-PLCW1-CL1-I-PV-CL_471RC5II_B</t>
  </si>
  <si>
    <t>ns=2;s=1:CL_471RC5II_B?Value</t>
  </si>
  <si>
    <t>d3483a5b-28d9-43fd-9226-42c15c8e6248</t>
  </si>
  <si>
    <t>Cooler Fan-1 Power</t>
  </si>
  <si>
    <t>CL_471FN1JI_B</t>
  </si>
  <si>
    <t>N-PLCW1-CL1-J-PV-CL_471FN1JI_B</t>
  </si>
  <si>
    <t>ns=2;s=1:CL_471FN1JI_B?Value</t>
  </si>
  <si>
    <t>d9a7fcb5-1029-4444-b4e8-45262b641df0</t>
  </si>
  <si>
    <t>Cooler FAN-2 Power</t>
  </si>
  <si>
    <t>CL_471FN2JI_B</t>
  </si>
  <si>
    <t>N-PLCW1-CL1-J-PV-CL_471FN2JI_B</t>
  </si>
  <si>
    <t>ns=2;s=1:CL_471FN2JI_B?Value</t>
  </si>
  <si>
    <t>8547d3b4-bfb9-4624-94dc-f82cd3512b53</t>
  </si>
  <si>
    <t>Cooler FAN-3 Power</t>
  </si>
  <si>
    <t>CL_471FN3JI_B</t>
  </si>
  <si>
    <t>N-PLCW1-CL1-J-PV-CL_471FN3JI_B</t>
  </si>
  <si>
    <t>ns=2;s=1:CL_471FN3JI_B?Value</t>
  </si>
  <si>
    <t>671abad7-29c8-4fdb-a623-8a7dae23999d</t>
  </si>
  <si>
    <t>Cooler FAN-4 Power</t>
  </si>
  <si>
    <t>CL_471FN4JI_B</t>
  </si>
  <si>
    <t>N-PLCW1-CL1-J-PV-CL_471FN4JI_B</t>
  </si>
  <si>
    <t>ns=2;s=1:CL_471FN4JI_B?Value</t>
  </si>
  <si>
    <t>23e2473f-0588-450b-9959-3c120a823323</t>
  </si>
  <si>
    <t>Cooler FAN-5 Power</t>
  </si>
  <si>
    <t>CL_471FN5JI_B</t>
  </si>
  <si>
    <t>N-PLCW1-CL1-J-PV-CL_471FN5JI_B</t>
  </si>
  <si>
    <t>ns=2;s=1:CL_471FN5JI_B?Value</t>
  </si>
  <si>
    <t>9370401c-d35d-43ec-8a38-17d685f84ed7</t>
  </si>
  <si>
    <t>Cooler FAN-6 Power</t>
  </si>
  <si>
    <t>CL_471FN6JI_B</t>
  </si>
  <si>
    <t>N-PLCW1-CL1-J-PV-CL_471FN6JI_B</t>
  </si>
  <si>
    <t>ns=2;s=1:CL_471FN6JI_B?Value</t>
  </si>
  <si>
    <t>98c3708e-d60b-4606-9fa3-6d501d6562c9</t>
  </si>
  <si>
    <t>Cooler FAN-7 Power</t>
  </si>
  <si>
    <t>CL_471FN7JI_B</t>
  </si>
  <si>
    <t>N-PLCW1-CL1-J-PV-CL_471FN7JI_B</t>
  </si>
  <si>
    <t>ns=2;s=1:CL_471FN7JI_B?Value</t>
  </si>
  <si>
    <t>00c4aa93-689b-435c-ac4d-9abb18abc643</t>
  </si>
  <si>
    <t>Cooler FAN-8 Power</t>
  </si>
  <si>
    <t>CL_471FN8JI_B</t>
  </si>
  <si>
    <t>N-PLCW1-CL1-J-PV-CL_471FN8JI_B</t>
  </si>
  <si>
    <t>ns=2;s=1:CL_471FN8JI_B?Value</t>
  </si>
  <si>
    <t>01ce4249-292e-4477-9220-b7af16580245</t>
  </si>
  <si>
    <t>Cooler FAN-9 Power</t>
  </si>
  <si>
    <t>CL_471FN9JI_B</t>
  </si>
  <si>
    <t>N-PLCW1-CL1-J-PV-CL_471FN9JI_B</t>
  </si>
  <si>
    <t>ns=2;s=1:CL_471FN9JI_B?Value</t>
  </si>
  <si>
    <t>b2a4977c-556f-4f0a-9fa7-9812a82468fb</t>
  </si>
  <si>
    <t>Cooler FAN-A Power</t>
  </si>
  <si>
    <t>CL_471FNAJI_B</t>
  </si>
  <si>
    <t>N-PLCW1-CL1-J-PV-CL_471FNAJI_B</t>
  </si>
  <si>
    <t>ns=2;s=1:CL_471FNAJI_B?Value</t>
  </si>
  <si>
    <t>7d78251c-a5e0-4f46-bdeb-37be4c594552</t>
  </si>
  <si>
    <t>Cooler FAN-B Power</t>
  </si>
  <si>
    <t>CL_471FNBJI_B</t>
  </si>
  <si>
    <t>N-PLCW1-CL1-J-PV-CL_471FNBJI_B</t>
  </si>
  <si>
    <t>ns=2;s=1:CL_471FNBJI_B?Value</t>
  </si>
  <si>
    <t>78cec57e-a387-42b1-8f59-59f896233127</t>
  </si>
  <si>
    <t>Cooler FAN-C Power</t>
  </si>
  <si>
    <t>CL_471FNCJI_B</t>
  </si>
  <si>
    <t>N-PLCW1-CL1-J-PV-CL_471FNCJI_B</t>
  </si>
  <si>
    <t>ns=2;s=1:CL_471FNCJI_B?Value</t>
  </si>
  <si>
    <t>8d7d25a2-fa8d-45b6-b469-029edc2bb4be</t>
  </si>
  <si>
    <t>Cooler FAN-D Power</t>
  </si>
  <si>
    <t>CL_471FNDJI_B</t>
  </si>
  <si>
    <t>N-PLCW1-CL1-J-PV-CL_471FNDJI_B</t>
  </si>
  <si>
    <t>ns=2;s=1:CL_471FNDJI_B?Value</t>
  </si>
  <si>
    <t>bf5f2cc5-11e3-42cf-ac91-2beac54ef194</t>
  </si>
  <si>
    <t>Turbine Active Power</t>
  </si>
  <si>
    <t>MW</t>
  </si>
  <si>
    <t>W1_TSP_MW001</t>
  </si>
  <si>
    <t>N-PLCW1-CL1-J-PV-W1_TSP_MW001</t>
  </si>
  <si>
    <t>ns=2;s=1:W1_TSP_MW001?Value</t>
  </si>
  <si>
    <t>8eb172e3-1833-4d49-b2d0-aef64fc575e6</t>
  </si>
  <si>
    <t>Clinker Silo Level</t>
  </si>
  <si>
    <t>CL_491SI1_LT1</t>
  </si>
  <si>
    <t>N-PLCW1-CL1-L-PV-CL_491SI1_LT1</t>
  </si>
  <si>
    <t>49</t>
  </si>
  <si>
    <t>ns=2;s=1:CL_491SI1_LT1?Value</t>
  </si>
  <si>
    <t>55e8f9b6-e3a7-471e-a62e-781c15469592</t>
  </si>
  <si>
    <t>CL_BED_HEIGHT</t>
  </si>
  <si>
    <t>N-PLCW1-CL1-L-PV-CL_BED_HEIGHT</t>
  </si>
  <si>
    <t>ns=2;s=1:CL_BED_HEIGHT?Value</t>
  </si>
  <si>
    <t>11d4f46a-1e68-4129-8811-0d79da139843</t>
  </si>
  <si>
    <t>ESP Fan Kiln hood Draft Set Point</t>
  </si>
  <si>
    <t>CL_471FNF_SPSPA</t>
  </si>
  <si>
    <t>N-PLCW1-CL1-P-FSP-CL_471FNF_SPSPA</t>
  </si>
  <si>
    <t>-20</t>
  </si>
  <si>
    <t>ns=2;s=1:CL_471FNF_SPSPA?Value</t>
  </si>
  <si>
    <t>4b1d9f68-eb33-4d48-86f3-1021c5196b61</t>
  </si>
  <si>
    <t>ESP Inlet Pressure</t>
  </si>
  <si>
    <t>CL_471EP1_PT1</t>
  </si>
  <si>
    <t>N-PLCW1-CL1-P-PV-CL_471EP1_PT1</t>
  </si>
  <si>
    <t>ns=2;s=1:CL_471EP1_PT1?Value</t>
  </si>
  <si>
    <t>9ebfdfa7-485e-488d-927f-0cbdb043b437</t>
  </si>
  <si>
    <t>ESP Outlet Pressure</t>
  </si>
  <si>
    <t>CL_471EP1_PT2</t>
  </si>
  <si>
    <t>N-PLCW1-CL1-P-PV-CL_471EP1_PT2</t>
  </si>
  <si>
    <t>-300</t>
  </si>
  <si>
    <t>ns=2;s=1:CL_471EP1_PT2?Value</t>
  </si>
  <si>
    <t>6bcd4906-a0e5-4bfc-afc7-16f7db3d8f38</t>
  </si>
  <si>
    <t>Cooler Fan-1 Pressure</t>
  </si>
  <si>
    <t>CL_471FN1_PT1</t>
  </si>
  <si>
    <t>N-PLCW1-CL1-P-PV-CL_471FN1_PT1</t>
  </si>
  <si>
    <t>2000</t>
  </si>
  <si>
    <t>ns=2;s=1:CL_471FN1_PT1?Value</t>
  </si>
  <si>
    <t>69c3c357-398b-447b-a5c6-d7da80ea1310</t>
  </si>
  <si>
    <t>Cooler FAN-2 Pressure</t>
  </si>
  <si>
    <t>CL_471FN2_PT1</t>
  </si>
  <si>
    <t>N-PLCW1-CL1-P-PV-CL_471FN2_PT1</t>
  </si>
  <si>
    <t>ns=2;s=1:CL_471FN2_PT1?Value</t>
  </si>
  <si>
    <t>344c16a0-c63b-4df6-9842-a3c9ae3d3f66</t>
  </si>
  <si>
    <t>Cooler FAN-3 Pressure</t>
  </si>
  <si>
    <t>CL_471FN3_PT1</t>
  </si>
  <si>
    <t>N-PLCW1-CL1-P-PV-CL_471FN3_PT1</t>
  </si>
  <si>
    <t>ns=2;s=1:CL_471FN3_PT1?Value</t>
  </si>
  <si>
    <t>986d9172-9f34-4045-b57d-afbc6b0cdca1</t>
  </si>
  <si>
    <t>Cooler FAN-4 Pressure</t>
  </si>
  <si>
    <t>CL_471FN4_PT1</t>
  </si>
  <si>
    <t>N-PLCW1-CL1-P-PV-CL_471FN4_PT1</t>
  </si>
  <si>
    <t>ns=2;s=1:CL_471FN4_PT1?Value</t>
  </si>
  <si>
    <t>7bea018a-fb48-4950-9754-b632a1fe5b59</t>
  </si>
  <si>
    <t>Cooler FAN-5 Pressure</t>
  </si>
  <si>
    <t>CL_471FN5_PT1</t>
  </si>
  <si>
    <t>N-PLCW1-CL1-P-PV-CL_471FN5_PT1</t>
  </si>
  <si>
    <t>ns=2;s=1:CL_471FN5_PT1?Value</t>
  </si>
  <si>
    <t>7b38c01a-8741-4fc0-a690-a4954fbd2731</t>
  </si>
  <si>
    <t>Cooler FAN-6 Pressure</t>
  </si>
  <si>
    <t>CL_471FN6_PT1</t>
  </si>
  <si>
    <t>N-PLCW1-CL1-P-PV-CL_471FN6_PT1</t>
  </si>
  <si>
    <t>ns=2;s=1:CL_471FN6_PT1?Value</t>
  </si>
  <si>
    <t>dbd2f50a-dad6-4038-afa9-1f571a576d4e</t>
  </si>
  <si>
    <t>Cooler FAN-7 Pressure</t>
  </si>
  <si>
    <t>CL_471FN7_PT1</t>
  </si>
  <si>
    <t>N-PLCW1-CL1-P-PV-CL_471FN7_PT1</t>
  </si>
  <si>
    <t>ns=2;s=1:CL_471FN7_PT1?Value</t>
  </si>
  <si>
    <t>1dbd0cd7-39f4-4245-b5de-6564bc8c4db5</t>
  </si>
  <si>
    <t>Cooler FAN-8 Pressure</t>
  </si>
  <si>
    <t>CL_471FN8_PT1</t>
  </si>
  <si>
    <t>N-PLCW1-CL1-P-PV-CL_471FN8_PT1</t>
  </si>
  <si>
    <t>ns=2;s=1:CL_471FN8_PT1?Value</t>
  </si>
  <si>
    <t>48874c46-3b0d-4285-b93f-3b4333840e5e</t>
  </si>
  <si>
    <t>Cooler FAN-9 Pressure</t>
  </si>
  <si>
    <t>CL_471FN9_PT1</t>
  </si>
  <si>
    <t>N-PLCW1-CL1-P-PV-CL_471FN9_PT1</t>
  </si>
  <si>
    <t>ns=2;s=1:CL_471FN9_PT1?Value</t>
  </si>
  <si>
    <t>fa8aa630-dc6f-4307-b2ce-1c85b745d04b</t>
  </si>
  <si>
    <t>Cooler FAN-A Pressure</t>
  </si>
  <si>
    <t>CL_471FNA_PT1</t>
  </si>
  <si>
    <t>N-PLCW1-CL1-P-PV-CL_471FNA_PT1</t>
  </si>
  <si>
    <t>ns=2;s=1:CL_471FNA_PT1?Value</t>
  </si>
  <si>
    <t>9af75ded-5364-4460-89cd-fe06310a491f</t>
  </si>
  <si>
    <t>Cooler FAN-B Pressure</t>
  </si>
  <si>
    <t>CL_471FNB_PT1</t>
  </si>
  <si>
    <t>N-PLCW1-CL1-P-PV-CL_471FNB_PT1</t>
  </si>
  <si>
    <t>ns=2;s=1:CL_471FNB_PT1?Value</t>
  </si>
  <si>
    <t>b3af36d0-28ed-4b14-96d0-af774712c9c5</t>
  </si>
  <si>
    <t>Cooler FAN-C Pressure</t>
  </si>
  <si>
    <t>CL_471FNC_PT1</t>
  </si>
  <si>
    <t>N-PLCW1-CL1-P-PV-CL_471FNC_PT1</t>
  </si>
  <si>
    <t>ns=2;s=1:CL_471FNC_PT1?Value</t>
  </si>
  <si>
    <t>60962764-c7ca-45c9-a4ff-ca2312433f02</t>
  </si>
  <si>
    <t>Cooler FAN-D Pressure</t>
  </si>
  <si>
    <t>CL_471FND_PT1</t>
  </si>
  <si>
    <t>N-PLCW1-CL1-P-PV-CL_471FND_PT1</t>
  </si>
  <si>
    <t>ns=2;s=1:CL_471FND_PT1?Value</t>
  </si>
  <si>
    <t>b9ad49c9-bf45-400e-a90c-e37427849ebd</t>
  </si>
  <si>
    <t>Kiln Hood Draft</t>
  </si>
  <si>
    <t>CL_KL_HD_DRAFT</t>
  </si>
  <si>
    <t>N-PLCW1-CL1-P-PV-CL_KL_HD_DRAFT</t>
  </si>
  <si>
    <t>ns=2;s=1:CL_KL_HD_DRAFT?Value</t>
  </si>
  <si>
    <t>be20ebb0-c25b-4398-b28f-3243c7607bbb</t>
  </si>
  <si>
    <t>FG at HP Evaporator I/L Pressure</t>
  </si>
  <si>
    <t>W1A_AQC_FG_103_PT</t>
  </si>
  <si>
    <t>N-PLCW1-CL1-P-PV-W1A_AQC_FG_103_PT</t>
  </si>
  <si>
    <t>ns=2;s=1:W1A_AQC_FG_103_PT?Value</t>
  </si>
  <si>
    <t>5507e209-dce9-4371-9f9d-6d65876f8be5</t>
  </si>
  <si>
    <t>Boiler FG I/L DP</t>
  </si>
  <si>
    <t>W1B1_AQC_FG_INLT_DP</t>
  </si>
  <si>
    <t>N-PLCW1-CL1-P-PV-W1B1_AQC_FG_INLT_DP</t>
  </si>
  <si>
    <t>ns=2;s=1:W1B1_AQC_FG_INLT_DP?Value</t>
  </si>
  <si>
    <t>6c204a25-6582-41a0-bbec-708c2402b75a</t>
  </si>
  <si>
    <t>Grate Cooler Drive Set Point</t>
  </si>
  <si>
    <t>SPM</t>
  </si>
  <si>
    <t>CL_471CC1_SP</t>
  </si>
  <si>
    <t>N-PLCW1-CL1-R-FSP-CL_471CC1_SP</t>
  </si>
  <si>
    <t>ns=2;s=1:CL_471CC1_SP?Value</t>
  </si>
  <si>
    <t>f030a197-15d2-4d3f-b998-67751ae9ab73</t>
  </si>
  <si>
    <t>Cooler Fan-1 rpm Set Point</t>
  </si>
  <si>
    <t>CL_471FN1_SPSPM</t>
  </si>
  <si>
    <t>N-PLCW1-CL1-R-FSP-CL_471FN1_SPSPM</t>
  </si>
  <si>
    <t>ns=2;s=1:CL_471FN1_SPSPM?Value</t>
  </si>
  <si>
    <t>347e3289-aa4c-4e2d-9294-97492c594c22</t>
  </si>
  <si>
    <t>Cooler FAN-2 rpm Set Point</t>
  </si>
  <si>
    <t>CL_471FN2_SPSPM</t>
  </si>
  <si>
    <t>N-PLCW1-CL1-R-FSP-CL_471FN2_SPSPM</t>
  </si>
  <si>
    <t>ns=2;s=1:CL_471FN2_SPSPM?Value</t>
  </si>
  <si>
    <t>763cc881-38e8-4a16-8b96-e16d47867cd0</t>
  </si>
  <si>
    <t>Cooler FAN-3 rpm Set Point</t>
  </si>
  <si>
    <t>CL_471FN3_SPSPM</t>
  </si>
  <si>
    <t>N-PLCW1-CL1-R-FSP-CL_471FN3_SPSPM</t>
  </si>
  <si>
    <t>ns=2;s=1:CL_471FN3_SPSPM?Value</t>
  </si>
  <si>
    <t>4488b7f0-fbba-458e-8b80-d521e010107c</t>
  </si>
  <si>
    <t>Cooler FAN-4 rpm Set Point</t>
  </si>
  <si>
    <t>CL_471FN4_SPSPM</t>
  </si>
  <si>
    <t>N-PLCW1-CL1-R-FSP-CL_471FN4_SPSPM</t>
  </si>
  <si>
    <t>ns=2;s=1:CL_471FN4_SPSPM?Value</t>
  </si>
  <si>
    <t>d91e4b47-4441-4494-98de-f147c32632d2</t>
  </si>
  <si>
    <t>Cooler FAN-5 rpm Set Point</t>
  </si>
  <si>
    <t>CL_471FN5_SPSPM</t>
  </si>
  <si>
    <t>N-PLCW1-CL1-R-FSP-CL_471FN5_SPSPM</t>
  </si>
  <si>
    <t>ns=2;s=1:CL_471FN5_SPSPM?Value</t>
  </si>
  <si>
    <t>933426b0-2e88-444b-a122-ee4dce58f568</t>
  </si>
  <si>
    <t>Cooler FAN-6 rpm Set Point</t>
  </si>
  <si>
    <t>CL_471FN6_SPSPM</t>
  </si>
  <si>
    <t>N-PLCW1-CL1-R-FSP-CL_471FN6_SPSPM</t>
  </si>
  <si>
    <t>ns=2;s=1:CL_471FN6_SPSPM?Value</t>
  </si>
  <si>
    <t>0ffba8c5-58fc-4196-85e9-aa1f399f76dc</t>
  </si>
  <si>
    <t>Cooler FAN-7 rpm Set Point</t>
  </si>
  <si>
    <t>CL_471FN7_SPSPM</t>
  </si>
  <si>
    <t>N-PLCW1-CL1-R-FSP-CL_471FN7_SPSPM</t>
  </si>
  <si>
    <t>ns=2;s=1:CL_471FN7_SPSPM?Value</t>
  </si>
  <si>
    <t>9599d1d7-d048-44dc-a62b-b67f892c40c9</t>
  </si>
  <si>
    <t>Cooler FAN-8 rpm Set Point</t>
  </si>
  <si>
    <t>CL_471FN8_SPSPM</t>
  </si>
  <si>
    <t>N-PLCW1-CL1-R-FSP-CL_471FN8_SPSPM</t>
  </si>
  <si>
    <t>ns=2;s=1:CL_471FN8_SPSPM?Value</t>
  </si>
  <si>
    <t>231a08e1-5029-4bdc-94ee-f3dd92781796</t>
  </si>
  <si>
    <t>Cooler FAN-9 rpm Set Point</t>
  </si>
  <si>
    <t>CL_471FN9_SPSPM</t>
  </si>
  <si>
    <t>N-PLCW1-CL1-R-FSP-CL_471FN9_SPSPM</t>
  </si>
  <si>
    <t>ns=2;s=1:CL_471FN9_SPSPM?Value</t>
  </si>
  <si>
    <t>e9dc3700-ae2f-4a6e-94ca-8106fc7d0411</t>
  </si>
  <si>
    <t>Cooler FAN-A rpm Set Point</t>
  </si>
  <si>
    <t>CL_471FNA_SPSPM</t>
  </si>
  <si>
    <t>N-PLCW1-CL1-R-FSP-CL_471FNA_SPSPM</t>
  </si>
  <si>
    <t>ns=2;s=1:CL_471FNA_SPSPM?Value</t>
  </si>
  <si>
    <t>c0cc520b-024a-431d-a1b2-168983903199</t>
  </si>
  <si>
    <t>Cooler FAN-B rpm Set Point</t>
  </si>
  <si>
    <t>CL_471FNB_SPSPM</t>
  </si>
  <si>
    <t>N-PLCW1-CL1-R-FSP-CL_471FNB_SPSPM</t>
  </si>
  <si>
    <t>ns=2;s=1:CL_471FNB_SPSPM?Value</t>
  </si>
  <si>
    <t>d6f8188d-cd0d-4711-87e5-1ba722b87bc2</t>
  </si>
  <si>
    <t>Cooler FAN-C rpm Set Point</t>
  </si>
  <si>
    <t>CL_471FNC_SPSPM</t>
  </si>
  <si>
    <t>N-PLCW1-CL1-R-FSP-CL_471FNC_SPSPM</t>
  </si>
  <si>
    <t>ns=2;s=1:CL_471FNC_SPSPM?Value</t>
  </si>
  <si>
    <t>10c99997-ff56-4595-b419-f9d85fe7d02d</t>
  </si>
  <si>
    <t>Cooler FAN-D rpm Set Point</t>
  </si>
  <si>
    <t>CL_471FND_SPSPM</t>
  </si>
  <si>
    <t>N-PLCW1-CL1-R-FSP-CL_471FND_SPSPM</t>
  </si>
  <si>
    <t>ns=2;s=1:CL_471FND_SPSPM?Value</t>
  </si>
  <si>
    <t>3fecb08c-5694-4b46-9cab-68b287065f31</t>
  </si>
  <si>
    <t>Cooler ESP Fan Speed Set Point</t>
  </si>
  <si>
    <t>CL_471FNF_SPSPM</t>
  </si>
  <si>
    <t>N-PLCW1-CL1-R-FSP-CL_471FNF_SPSPM</t>
  </si>
  <si>
    <t>ns=2;s=1:CL_471FNF_SPSPM?Value</t>
  </si>
  <si>
    <t>6b53ecc4-a25e-4b41-875a-8d4e3e645533</t>
  </si>
  <si>
    <t>Grate Cooler Drive Speed</t>
  </si>
  <si>
    <t>CL_471CC1_SI</t>
  </si>
  <si>
    <t>N-PLCW1-CL1-R-PV-CL_471CC1_SI</t>
  </si>
  <si>
    <t>ns=2;s=1:CL_471CC1_SI?Value</t>
  </si>
  <si>
    <t>e95b9fb2-0fd6-4b6d-bdc1-0f3ce089576c</t>
  </si>
  <si>
    <t>Cooler Fan-1 Speed</t>
  </si>
  <si>
    <t>CL_471FN1_SI</t>
  </si>
  <si>
    <t>N-PLCW1-CL1-R-PV-CL_471FN1_SI</t>
  </si>
  <si>
    <t>ns=2;s=1:CL_471FN1_SI?Value</t>
  </si>
  <si>
    <t>2f2fc0d0-0c1e-49bb-a51b-1a86d202a728</t>
  </si>
  <si>
    <t>Cooler FAN-2 Speed</t>
  </si>
  <si>
    <t>CL_471FN2_SI</t>
  </si>
  <si>
    <t>N-PLCW1-CL1-R-PV-CL_471FN2_SI</t>
  </si>
  <si>
    <t>ns=2;s=1:CL_471FN2_SI?Value</t>
  </si>
  <si>
    <t>b081fa11-87ae-47c5-8232-4e81864a5599</t>
  </si>
  <si>
    <t>Cooler FAN-3 Speed</t>
  </si>
  <si>
    <t>CL_471FN3_SI</t>
  </si>
  <si>
    <t>N-PLCW1-CL1-R-PV-CL_471FN3_SI</t>
  </si>
  <si>
    <t>ns=2;s=1:CL_471FN3_SI?Value</t>
  </si>
  <si>
    <t>3925c770-2842-49b0-bbe7-520a1c2d0966</t>
  </si>
  <si>
    <t>Cooler FAN-4 Speed</t>
  </si>
  <si>
    <t>CL_471FN4_SI</t>
  </si>
  <si>
    <t>N-PLCW1-CL1-R-PV-CL_471FN4_SI</t>
  </si>
  <si>
    <t>ns=2;s=1:CL_471FN4_SI?Value</t>
  </si>
  <si>
    <t>4879cdc3-18e9-4f61-8998-86e359069068</t>
  </si>
  <si>
    <t>Cooler FAN-5 Speed</t>
  </si>
  <si>
    <t>CL_471FN5_SI</t>
  </si>
  <si>
    <t>N-PLCW1-CL1-R-PV-CL_471FN5_SI</t>
  </si>
  <si>
    <t>ns=2;s=1:CL_471FN5_SI?Value</t>
  </si>
  <si>
    <t>a5a2e9e3-4735-42ab-ab5f-a07cc1df24e2</t>
  </si>
  <si>
    <t>Cooler FAN-6 Speed</t>
  </si>
  <si>
    <t>CL_471FN6_SI</t>
  </si>
  <si>
    <t>N-PLCW1-CL1-R-PV-CL_471FN6_SI</t>
  </si>
  <si>
    <t>ns=2;s=1:CL_471FN6_SI?Value</t>
  </si>
  <si>
    <t>4ee5d699-ca8e-4d33-b741-3889b3d37a0d</t>
  </si>
  <si>
    <t>Cooler FAN-7 Speed</t>
  </si>
  <si>
    <t>CL_471FN7_SI</t>
  </si>
  <si>
    <t>N-PLCW1-CL1-R-PV-CL_471FN7_SI</t>
  </si>
  <si>
    <t>ns=2;s=1:CL_471FN7_SI?Value</t>
  </si>
  <si>
    <t>390a08d9-a8c9-4e7a-9d09-ce9c8d8a9879</t>
  </si>
  <si>
    <t>Cooler FAN-8 Speed</t>
  </si>
  <si>
    <t>CL_471FN8_SI</t>
  </si>
  <si>
    <t>N-PLCW1-CL1-R-PV-CL_471FN8_SI</t>
  </si>
  <si>
    <t>ns=2;s=1:CL_471FN8_SI?Value</t>
  </si>
  <si>
    <t>90540603-f5b1-4d66-ab87-d510639b87a8</t>
  </si>
  <si>
    <t>Cooler FAN-9 Speed</t>
  </si>
  <si>
    <t>CL_471FN9_SI</t>
  </si>
  <si>
    <t>N-PLCW1-CL1-R-PV-CL_471FN9_SI</t>
  </si>
  <si>
    <t>ns=2;s=1:CL_471FN9_SI?Value</t>
  </si>
  <si>
    <t>eca9abaa-685f-4305-89f5-b68b336d945e</t>
  </si>
  <si>
    <t>Cooler FAN-A Speed</t>
  </si>
  <si>
    <t>CL_471FNA_SI</t>
  </si>
  <si>
    <t>N-PLCW1-CL1-R-PV-CL_471FNA_SI</t>
  </si>
  <si>
    <t>ns=2;s=1:CL_471FNA_SI?Value</t>
  </si>
  <si>
    <t>4c95483f-d761-416d-929b-d92b82bd629f</t>
  </si>
  <si>
    <t>Cooler FAN-B Speed</t>
  </si>
  <si>
    <t>CL_471FNB_SI</t>
  </si>
  <si>
    <t>N-PLCW1-CL1-R-PV-CL_471FNB_SI</t>
  </si>
  <si>
    <t>ns=2;s=1:CL_471FNB_SI?Value</t>
  </si>
  <si>
    <t>53ba902e-4d14-4167-8599-a166500313e4</t>
  </si>
  <si>
    <t>Cooler FAN-C Speed</t>
  </si>
  <si>
    <t>CL_471FNC_SI</t>
  </si>
  <si>
    <t>N-PLCW1-CL1-R-PV-CL_471FNC_SI</t>
  </si>
  <si>
    <t>ns=2;s=1:CL_471FNC_SI?Value</t>
  </si>
  <si>
    <t>e766ea66-4b3f-4f47-9488-77f0ec3b5863</t>
  </si>
  <si>
    <t>Cooler FAN-D Speed</t>
  </si>
  <si>
    <t>CL_471FND_SI</t>
  </si>
  <si>
    <t>N-PLCW1-CL1-R-PV-CL_471FND_SI</t>
  </si>
  <si>
    <t>ns=2;s=1:CL_471FND_SI?Value</t>
  </si>
  <si>
    <t>5557b327-e028-4941-a910-b2821ea86053</t>
  </si>
  <si>
    <t>ESP Inlet temp</t>
  </si>
  <si>
    <t>CL_471EP1_TT2</t>
  </si>
  <si>
    <t>N-PLCW1-CL1-T-PV-CL_471EP1_TT2</t>
  </si>
  <si>
    <t>ns=2;s=1:CL_471EP1_TT2?Value</t>
  </si>
  <si>
    <t>07f6979a-3a36-4cca-a46a-9261c526fe0b</t>
  </si>
  <si>
    <t>ESP Outlet temp</t>
  </si>
  <si>
    <t>CL_471EP1_TT3</t>
  </si>
  <si>
    <t>N-PLCW1-CL1-T-PV-CL_471EP1_TT3</t>
  </si>
  <si>
    <t>ns=2;s=1:CL_471EP1_TT3?Value</t>
  </si>
  <si>
    <t>718bcea2-a0e0-4bec-a2b2-154eee46524f</t>
  </si>
  <si>
    <t>FG at HP Secondary SH I/L temp</t>
  </si>
  <si>
    <t>W1A_AQC_FG_102_TT</t>
  </si>
  <si>
    <t>N-PLCW1-CL1-T-PV-W1A_AQC_FG_102_TT</t>
  </si>
  <si>
    <t>ns=2;s=1:W1A_AQC_FG_102_TT?Value</t>
  </si>
  <si>
    <t>82924fca-7e2d-4376-9f04-8a2385241dc0</t>
  </si>
  <si>
    <t>SiO2</t>
  </si>
  <si>
    <t>SiO2_10</t>
  </si>
  <si>
    <t>SiO2_60</t>
  </si>
  <si>
    <t>SiO2_P</t>
  </si>
  <si>
    <t>Al2O3</t>
  </si>
  <si>
    <t>Al2O3_10</t>
  </si>
  <si>
    <t>Al2O3_60</t>
  </si>
  <si>
    <t>Al2O3_P</t>
  </si>
  <si>
    <t>Fe2O3</t>
  </si>
  <si>
    <t>Fe2O3_10</t>
  </si>
  <si>
    <t>Fe2O3_60</t>
  </si>
  <si>
    <t>Fe2O3_P</t>
  </si>
  <si>
    <t>CaO</t>
  </si>
  <si>
    <t>CaO_10</t>
  </si>
  <si>
    <t>CaO_60</t>
  </si>
  <si>
    <t>CaO_P</t>
  </si>
  <si>
    <t>MgO</t>
  </si>
  <si>
    <t>MgO_10</t>
  </si>
  <si>
    <t>MgO_60</t>
  </si>
  <si>
    <t>MgO_P</t>
  </si>
  <si>
    <t>SO3</t>
  </si>
  <si>
    <t>SO3_10</t>
  </si>
  <si>
    <t>SO3_60</t>
  </si>
  <si>
    <t>SO3_P</t>
  </si>
  <si>
    <t>Na2O</t>
  </si>
  <si>
    <t>Na2O_10</t>
  </si>
  <si>
    <t>Na2O_60</t>
  </si>
  <si>
    <t>Na2O_P</t>
  </si>
  <si>
    <t>K2O</t>
  </si>
  <si>
    <t>K2O_10</t>
  </si>
  <si>
    <t>K2O_60</t>
  </si>
  <si>
    <t>K2O_P</t>
  </si>
  <si>
    <t>Cl</t>
  </si>
  <si>
    <t>Cl_10</t>
  </si>
  <si>
    <t>Cl_60</t>
  </si>
  <si>
    <t>Cl_P</t>
  </si>
  <si>
    <t>P2O5</t>
  </si>
  <si>
    <t>P2O5_10</t>
  </si>
  <si>
    <t>P2O5_60</t>
  </si>
  <si>
    <t>P2O5_P</t>
  </si>
  <si>
    <t>TiO2</t>
  </si>
  <si>
    <t>TiO2_10</t>
  </si>
  <si>
    <t>TiO2_60</t>
  </si>
  <si>
    <t>TiO2_P</t>
  </si>
  <si>
    <t>LSF</t>
  </si>
  <si>
    <t>LSF_10</t>
  </si>
  <si>
    <t>LSF_60</t>
  </si>
  <si>
    <t>LSF_P</t>
  </si>
  <si>
    <t>SM</t>
  </si>
  <si>
    <t>SM_10</t>
  </si>
  <si>
    <t>SM_60</t>
  </si>
  <si>
    <t>SM_P</t>
  </si>
  <si>
    <t>AM</t>
  </si>
  <si>
    <t>AM_10</t>
  </si>
  <si>
    <t>AM_60</t>
  </si>
  <si>
    <t>AM_P</t>
  </si>
  <si>
    <t>TPH_10</t>
  </si>
  <si>
    <t>TPH_60</t>
  </si>
  <si>
    <t>TPH_P</t>
  </si>
  <si>
    <t>TONS</t>
  </si>
  <si>
    <t>TONS_10</t>
  </si>
  <si>
    <t>TONS_60</t>
  </si>
  <si>
    <t>TONS_P</t>
  </si>
  <si>
    <t>Reject Bin</t>
  </si>
  <si>
    <t>561-BI1</t>
  </si>
  <si>
    <t>561B12</t>
  </si>
  <si>
    <t>Manual</t>
  </si>
  <si>
    <t>OUT</t>
  </si>
  <si>
    <t>591BE1</t>
  </si>
  <si>
    <t>Silo-1</t>
  </si>
  <si>
    <t>Silo-2</t>
  </si>
  <si>
    <t>561BF3</t>
  </si>
  <si>
    <t>591AS1</t>
  </si>
  <si>
    <t>591AS2</t>
  </si>
  <si>
    <t>591AS3</t>
  </si>
  <si>
    <t>561BC1</t>
  </si>
  <si>
    <t>531BC3</t>
  </si>
  <si>
    <t>561SK1</t>
  </si>
  <si>
    <t>471CV5</t>
  </si>
  <si>
    <t>CL_472CV4_RUN</t>
  </si>
  <si>
    <t>471CV6</t>
  </si>
  <si>
    <t>CL_472CV5_RUN</t>
  </si>
  <si>
    <t>CL_472CV1_RUN</t>
  </si>
  <si>
    <t>CL_472CV2_RUN</t>
  </si>
  <si>
    <t>471CV1</t>
  </si>
  <si>
    <t>CL_472CV3_RUN</t>
  </si>
  <si>
    <t>CL_492DB1_RUN</t>
  </si>
  <si>
    <t>491DB1</t>
  </si>
  <si>
    <t>CL_492DB2_RUN</t>
  </si>
  <si>
    <t>491DB2</t>
  </si>
  <si>
    <t>LD2</t>
  </si>
  <si>
    <t>CV7</t>
  </si>
  <si>
    <t>CL_472CV7_RUN</t>
  </si>
  <si>
    <t>CV8</t>
  </si>
  <si>
    <t>CL_472CV8_RUN</t>
  </si>
  <si>
    <t>M09</t>
  </si>
  <si>
    <t>M10</t>
  </si>
  <si>
    <t>M11</t>
  </si>
  <si>
    <t>M12</t>
  </si>
  <si>
    <t>M13</t>
  </si>
  <si>
    <t>M14</t>
  </si>
  <si>
    <t>M15</t>
  </si>
  <si>
    <t>M16</t>
  </si>
  <si>
    <t>M01</t>
  </si>
  <si>
    <t>M02</t>
  </si>
  <si>
    <t>M03</t>
  </si>
  <si>
    <t>M04</t>
  </si>
  <si>
    <t>M05</t>
  </si>
  <si>
    <t>M06</t>
  </si>
  <si>
    <t>M07</t>
  </si>
  <si>
    <t>M08</t>
  </si>
  <si>
    <t>471FN1</t>
  </si>
  <si>
    <t>471FN2</t>
  </si>
  <si>
    <t>471FN3</t>
  </si>
  <si>
    <t>471FN4</t>
  </si>
  <si>
    <t>471FN5</t>
  </si>
  <si>
    <t>471FN6</t>
  </si>
  <si>
    <t>471FN7</t>
  </si>
  <si>
    <t>471FN8</t>
  </si>
  <si>
    <t>471FN9</t>
  </si>
  <si>
    <t>471FNA</t>
  </si>
  <si>
    <t>471FNE</t>
  </si>
  <si>
    <t>471FNC</t>
  </si>
  <si>
    <t>471FND</t>
  </si>
  <si>
    <t>Grate Speed SP</t>
  </si>
  <si>
    <t>Grate Speed PV</t>
  </si>
  <si>
    <t>FRESH AIR</t>
  </si>
  <si>
    <t>Clinker Silo</t>
  </si>
  <si>
    <t>Clinker Bed Height</t>
  </si>
  <si>
    <t>471RA5</t>
  </si>
  <si>
    <t>RA6</t>
  </si>
  <si>
    <t>RA4</t>
  </si>
  <si>
    <t>RA7</t>
  </si>
  <si>
    <t>RA3</t>
  </si>
  <si>
    <t>RA8</t>
  </si>
  <si>
    <t>RA2</t>
  </si>
  <si>
    <t>RA9</t>
  </si>
  <si>
    <t>IA</t>
  </si>
  <si>
    <t>IB</t>
  </si>
  <si>
    <t>II</t>
  </si>
  <si>
    <t>IV</t>
  </si>
  <si>
    <t>VI</t>
  </si>
  <si>
    <t>III</t>
  </si>
  <si>
    <t>V</t>
  </si>
  <si>
    <t>PC1</t>
  </si>
  <si>
    <t>CO</t>
  </si>
  <si>
    <t>PH_451AM1_CO</t>
  </si>
  <si>
    <t>NO</t>
  </si>
  <si>
    <t>PH_451AM1_NOX</t>
  </si>
  <si>
    <t>O2</t>
  </si>
  <si>
    <t>PH_451AM1_O2</t>
  </si>
  <si>
    <t>PC2</t>
  </si>
  <si>
    <t>PH_451AM2_CO</t>
  </si>
  <si>
    <t>PH_451AM2_NOX</t>
  </si>
  <si>
    <t>PH_451AM2_O2</t>
  </si>
  <si>
    <t>I/L Analyser</t>
  </si>
  <si>
    <t>PH_461AM1_CO</t>
  </si>
  <si>
    <t>PH_461AM1_NOX</t>
  </si>
  <si>
    <t>PH_461AM1_O2</t>
  </si>
  <si>
    <t>O/L Analyser</t>
  </si>
  <si>
    <t>PH_441AM1_CO</t>
  </si>
  <si>
    <t>PH_441AM1_O2</t>
  </si>
  <si>
    <t>RotoScale</t>
  </si>
  <si>
    <t>Solid Flow Feeder</t>
  </si>
  <si>
    <t>BH FAN</t>
  </si>
  <si>
    <t>Out</t>
  </si>
  <si>
    <t>Fan Kw.</t>
  </si>
  <si>
    <t>Fan Spd.</t>
  </si>
  <si>
    <t>DP</t>
  </si>
  <si>
    <t>Inlet Draft</t>
  </si>
  <si>
    <t>Kiln Feed</t>
  </si>
  <si>
    <t>431BE1 M01</t>
  </si>
  <si>
    <t>411BE1 M02</t>
  </si>
  <si>
    <t>MANUAL</t>
  </si>
  <si>
    <t>AUTO</t>
  </si>
  <si>
    <t>SILO</t>
  </si>
  <si>
    <t>COLD MEAL</t>
  </si>
  <si>
    <t>RAW MILL</t>
  </si>
  <si>
    <t>FROM 431DG1</t>
  </si>
  <si>
    <t>Startup Burner</t>
  </si>
  <si>
    <t>481BL1</t>
  </si>
  <si>
    <t>481BL2</t>
  </si>
  <si>
    <t>481BL4</t>
  </si>
  <si>
    <t>481BL3</t>
  </si>
  <si>
    <t>Tag name</t>
  </si>
  <si>
    <t>331BC3</t>
  </si>
  <si>
    <t>361FV1</t>
  </si>
  <si>
    <t>361Bl1</t>
  </si>
  <si>
    <t>361Bl2</t>
  </si>
  <si>
    <t>4N03HP_LT</t>
  </si>
  <si>
    <t>361SR1</t>
  </si>
  <si>
    <t>CN1</t>
  </si>
  <si>
    <t>CN2</t>
  </si>
  <si>
    <t>CN3</t>
  </si>
  <si>
    <t>CN4</t>
  </si>
  <si>
    <t>391AS1</t>
  </si>
  <si>
    <t>391AS2</t>
  </si>
  <si>
    <t>391AS3</t>
  </si>
  <si>
    <t>391AS4</t>
  </si>
  <si>
    <t>BagHouse</t>
  </si>
  <si>
    <t>391AS5</t>
  </si>
  <si>
    <t>391RA5</t>
  </si>
  <si>
    <t>NA</t>
  </si>
  <si>
    <t>RM1_361CN1_PT01</t>
  </si>
  <si>
    <t>RM1_361CN2_PT02</t>
  </si>
  <si>
    <t>RM1_361CN3_PT03</t>
  </si>
  <si>
    <t>RM1_361CN4_PT04</t>
  </si>
  <si>
    <t>RM1_RAWMILL_SP</t>
  </si>
  <si>
    <t>RM1_361RM1_PT6</t>
  </si>
  <si>
    <t>RM1_361LD2_ZT</t>
  </si>
  <si>
    <t>RM1_361RM1_TT5</t>
  </si>
  <si>
    <t>RM1_361LD4_ZT</t>
  </si>
  <si>
    <t>RM1_361LD3_ZT</t>
  </si>
  <si>
    <t>RM1_361LD1_ZT</t>
  </si>
  <si>
    <t>391RA1-4</t>
  </si>
  <si>
    <t>CO_L41KM1_TT1</t>
  </si>
  <si>
    <t>N-PLCW1-KM1-T-PV-CO_L41KM1_TT1</t>
  </si>
  <si>
    <t>CMH_511BC2_TA</t>
  </si>
  <si>
    <t>Clinker Transport</t>
  </si>
  <si>
    <t>N-PLCW1-CT1-T-PV-CMH_511BC2_TA</t>
  </si>
  <si>
    <t>Raw Mill-1</t>
  </si>
  <si>
    <t>N-PLCW1-RM1-F-QC-TPH</t>
  </si>
  <si>
    <t>N-PLCW1-RM1-F-QC-TPH_10</t>
  </si>
  <si>
    <t>N-PLCW1-RM1-F-QC-TPH_60</t>
  </si>
  <si>
    <t>N-PLCW1-RM1-F-QC-TPH_P</t>
  </si>
  <si>
    <t>RM1_MCX_UTILIZATION</t>
  </si>
  <si>
    <t>N-PLCW1-RM1-O-PV-RM1_MCX_UTILIZATION</t>
  </si>
  <si>
    <t>N-PLCW1-RM1-Q-QC-Al2O3</t>
  </si>
  <si>
    <t>N-PLCW1-RM1-Q-QC-Al2O3_10</t>
  </si>
  <si>
    <t>N-PLCW1-RM1-Q-QC-Al2O3_60</t>
  </si>
  <si>
    <t>N-PLCW1-RM1-Q-QC-Al2O3_P</t>
  </si>
  <si>
    <t>N-PLCW1-RM1-Q-QC-CaO</t>
  </si>
  <si>
    <t>N-PLCW1-RM1-Q-QC-CaO_10</t>
  </si>
  <si>
    <t>N-PLCW1-RM1-Q-QC-CaO_60</t>
  </si>
  <si>
    <t>N-PLCW1-RM1-Q-QC-CaO_P</t>
  </si>
  <si>
    <t>N-PLCW1-RM1-Q-QC-Cl</t>
  </si>
  <si>
    <t>N-PLCW1-RM1-Q-QC-Cl_10</t>
  </si>
  <si>
    <t>N-PLCW1-RM1-Q-QC-Cl_60</t>
  </si>
  <si>
    <t>N-PLCW1-RM1-Q-QC-Cl_P</t>
  </si>
  <si>
    <t>N-PLCW1-RM1-Q-QC-Fe2O3</t>
  </si>
  <si>
    <t>N-PLCW1-RM1-Q-QC-Fe2O3_10</t>
  </si>
  <si>
    <t>N-PLCW1-RM1-Q-QC-Fe2O3_60</t>
  </si>
  <si>
    <t>N-PLCW1-RM1-Q-QC-Fe2O3_P</t>
  </si>
  <si>
    <t>N-PLCW1-RM1-Q-QC-K2O</t>
  </si>
  <si>
    <t>N-PLCW1-RM1-Q-QC-K2O_10</t>
  </si>
  <si>
    <t>N-PLCW1-RM1-Q-QC-K2O_60</t>
  </si>
  <si>
    <t>N-PLCW1-RM1-Q-QC-K2O_P</t>
  </si>
  <si>
    <t>N-PLCW1-RM1-Q-QC-MgO</t>
  </si>
  <si>
    <t>N-PLCW1-RM1-Q-QC-MgO_10</t>
  </si>
  <si>
    <t>N-PLCW1-RM1-Q-QC-MgO_60</t>
  </si>
  <si>
    <t>N-PLCW1-RM1-Q-QC-MgO_P</t>
  </si>
  <si>
    <t>N-PLCW1-RM1-Q-QC-Na2O</t>
  </si>
  <si>
    <t>N-PLCW1-RM1-Q-QC-Na2O_10</t>
  </si>
  <si>
    <t>N-PLCW1-RM1-Q-QC-Na2O_60</t>
  </si>
  <si>
    <t>N-PLCW1-RM1-Q-QC-Na2O_P</t>
  </si>
  <si>
    <t>N-PLCW1-RM1-Q-QC-P2O5</t>
  </si>
  <si>
    <t>N-PLCW1-RM1-Q-QC-P2O5_10</t>
  </si>
  <si>
    <t>N-PLCW1-RM1-Q-QC-P2O5_60</t>
  </si>
  <si>
    <t>N-PLCW1-RM1-Q-QC-P2O5_P</t>
  </si>
  <si>
    <t>N-PLCW1-RM1-Q-QC-SO3</t>
  </si>
  <si>
    <t>N-PLCW1-RM1-Q-QC-SO3_10</t>
  </si>
  <si>
    <t>N-PLCW1-RM1-Q-QC-SO3_60</t>
  </si>
  <si>
    <t>N-PLCW1-RM1-Q-QC-SO3_P</t>
  </si>
  <si>
    <t>N-PLCW1-RM1-Q-QC-SiO2</t>
  </si>
  <si>
    <t>N-PLCW1-RM1-Q-QC-SiO2_10</t>
  </si>
  <si>
    <t>N-PLCW1-RM1-Q-QC-SiO2_60</t>
  </si>
  <si>
    <t>N-PLCW1-RM1-Q-QC-SiO2_P</t>
  </si>
  <si>
    <t>N-PLCW1-RM1-Q-QC-TiO2</t>
  </si>
  <si>
    <t>N-PLCW1-RM1-Q-QC-TiO2_10</t>
  </si>
  <si>
    <t>N-PLCW1-RM1-Q-QC-TiO2_60</t>
  </si>
  <si>
    <t>N-PLCW1-RM1-Q-QC-TiO2_P</t>
  </si>
  <si>
    <t>N-PLCW1-RM1-RA-QC-AM</t>
  </si>
  <si>
    <t>N-PLCW1-RM1-RA-QC-AM_10</t>
  </si>
  <si>
    <t>N-PLCW1-RM1-RA-QC-AM_60</t>
  </si>
  <si>
    <t>N-PLCW1-RM1-RA-QC-AM_P</t>
  </si>
  <si>
    <t>N-PLCW1-RM1-RA-QC-LSF</t>
  </si>
  <si>
    <t>N-PLCW1-RM1-RA-QC-LSF_10</t>
  </si>
  <si>
    <t>N-PLCW1-RM1-RA-QC-LSF_60</t>
  </si>
  <si>
    <t>N-PLCW1-RM1-RA-QC-LSF_P</t>
  </si>
  <si>
    <t>N-PLCW1-RM1-RA-QC-SM</t>
  </si>
  <si>
    <t>N-PLCW1-RM1-RA-QC-SM_10</t>
  </si>
  <si>
    <t>N-PLCW1-RM1-RA-QC-SM_60</t>
  </si>
  <si>
    <t>N-PLCW1-RM1-RA-QC-SM_P</t>
  </si>
  <si>
    <t>RM1_MCX_OK</t>
  </si>
  <si>
    <t>N-PLCW1-RM1-ST-SV-RM1_MCX_OK</t>
  </si>
  <si>
    <t>RM1_MCX_RUN</t>
  </si>
  <si>
    <t>N-PLCW1-RM1-ST-SV-RM1_MCX_RUN</t>
  </si>
  <si>
    <t>N-PLCW1-RM1-WE-QC-TONS</t>
  </si>
  <si>
    <t>N-PLCW1-RM1-WE-QC-TONS_10</t>
  </si>
  <si>
    <t>N-PLCW1-RM1-WE-QC-TONS_60</t>
  </si>
  <si>
    <t>N-PLCW1-RM1-WE-QC-TONS_P</t>
  </si>
  <si>
    <t>W1T_TG_TOTAL_GEN</t>
  </si>
  <si>
    <t>WHRS</t>
  </si>
  <si>
    <t>N-PLCW1-WH1-E-PV-W1T_TG_TOTAL_GEN</t>
  </si>
  <si>
    <t>W1_SPECIFIC_GEN_CALC</t>
  </si>
  <si>
    <t>N-PLCW1-WH1-E-PV-W1_SPECIFIC_GEN_CALC</t>
  </si>
  <si>
    <t>W1A_AQC_HPS_608_FT_I91</t>
  </si>
  <si>
    <t>N-PLCW1-WH1-F-PV-W1A_AQC_HPS_608_FT_I91</t>
  </si>
  <si>
    <t>W1A_AQC_LPS_608_FT_I91</t>
  </si>
  <si>
    <t>N-PLCW1-WH1-F-PV-W1A_AQC_LPS_608_FT_I91</t>
  </si>
  <si>
    <t>W1A_AQC_STEAM_FLOW_TOTAL</t>
  </si>
  <si>
    <t>N-PLCW1-WH1-F-PV-W1A_AQC_STEAM_FLOW_TOTAL</t>
  </si>
  <si>
    <t>W1A_PH_HPS_608_FT_I91</t>
  </si>
  <si>
    <t>N-PLCW1-WH1-F-PV-W1A_PH_HPS_608_FT_I91</t>
  </si>
  <si>
    <t>W1A_PH_LPS_618_FT_I91</t>
  </si>
  <si>
    <t>N-PLCW1-WH1-F-PV-W1A_PH_LPS_618_FT_I91</t>
  </si>
  <si>
    <t>W1_CA_STG_633_FT</t>
  </si>
  <si>
    <t>N-PLCW1-WH1-F-PV-W1_CA_STG_633_FT</t>
  </si>
  <si>
    <t>W1_STG_FT101</t>
  </si>
  <si>
    <t>N-PLCW1-WH1-F-PV-W1_STG_FT101</t>
  </si>
  <si>
    <t>W1_STG_FT102</t>
  </si>
  <si>
    <t>N-PLCW1-WH1-F-PV-W1_STG_FT102</t>
  </si>
  <si>
    <t>EMS_WHRS_AUX_POWER</t>
  </si>
  <si>
    <t>N-PLCW1-WH1-J-PV-EMS_WHRS_AUX_POWER</t>
  </si>
  <si>
    <t>W1_TSP_MW001_AVG</t>
  </si>
  <si>
    <t>N-PLCW1-WH1-J-PV-W1_TSP_MW001_AVG</t>
  </si>
  <si>
    <t>W1_TG_SSC_CALC</t>
  </si>
  <si>
    <t>N-PLCW1-WH1-O-PV-W1_TG_SSC_CALC</t>
  </si>
  <si>
    <t>W1B1_PH_FG_INLT_DP</t>
  </si>
  <si>
    <t>N-PLCW1-WH1-P-PV-W1B1_PH_FG_INLT_DP</t>
  </si>
  <si>
    <t>W1_STG_PT_I91</t>
  </si>
  <si>
    <t>N-PLCW1-WH1-P-PV-W1_STG_PT_I91</t>
  </si>
  <si>
    <t>W1_STG_PT_I92</t>
  </si>
  <si>
    <t>N-PLCW1-WH1-P-PV-W1_STG_PT_I92</t>
  </si>
  <si>
    <t>W1A_AQC_FG_MLD001_ZT</t>
  </si>
  <si>
    <t>N-PLCW1-WH1-S-PV-W1A_AQC_FG_MLD001_ZT</t>
  </si>
  <si>
    <t>CL_471DU4_HAR_TT</t>
  </si>
  <si>
    <t>N-PLCW1-WH1-T-PV-CL_471DU4_HAR_TT</t>
  </si>
  <si>
    <t>W1A_AQC_FG_109_TT</t>
  </si>
  <si>
    <t>N-PLCW1-WH1-T-PV-W1A_AQC_FG_109_TT</t>
  </si>
  <si>
    <t>W1_AQC_FG_102_TT</t>
  </si>
  <si>
    <t>N-PLCW1-WH1-T-PV-W1_AQC_FG_102_TT</t>
  </si>
  <si>
    <t>W1_STG_TT_I91</t>
  </si>
  <si>
    <t>N-PLCW1-WH1-T-PV-W1_STG_TT_I91</t>
  </si>
  <si>
    <t>W1_STG_TT_I92</t>
  </si>
  <si>
    <t>N-PLCW1-WH1-T-PV-W1_STG_TT_I92</t>
  </si>
  <si>
    <t>W1_STG_TT_I93</t>
  </si>
  <si>
    <t>N-PLCW1-WH1-T-PV-W1_STG_TT_I93</t>
  </si>
  <si>
    <t>W1A_AQC_BLR_RUN_TOD</t>
  </si>
  <si>
    <t>N-PLCW1-WH1-TI-PV-W1A_AQC_BLR_RUN_TOD</t>
  </si>
  <si>
    <t>W1A_PH_BLR_RUN_TOD</t>
  </si>
  <si>
    <t>N-PLCW1-WH1-TI-PV-W1A_PH_BLR_RUN_TOD</t>
  </si>
  <si>
    <t>W1T_TG_RUN_TOD</t>
  </si>
  <si>
    <t>N-PLCW1-WH1-TI-PV-W1T_TG_RUN_TOD</t>
  </si>
  <si>
    <t>CM_MCX_UTILIZATION</t>
  </si>
  <si>
    <t>Cement Mill-1</t>
  </si>
  <si>
    <t>N-PLCW1-CM1-O-PV-CM_MCX_UTILIZATION</t>
  </si>
  <si>
    <t>CM_MCX_OK</t>
  </si>
  <si>
    <t>N-PLCW1-CM1-ST-SV-CM_MCX_OK</t>
  </si>
  <si>
    <t>CM_MCX_ON</t>
  </si>
  <si>
    <t>N-PLCW1-CM1-ST-SV-CM_MCX_ON</t>
  </si>
  <si>
    <t>KL_461MD1_RUN_TOD</t>
  </si>
  <si>
    <t>N-PLCW1-KL1-TI-PV-KL_461MD1_RUN_TOD</t>
  </si>
  <si>
    <t>KL_CLI_PROD_TD</t>
  </si>
  <si>
    <t>N-PLCW1-KL1-WE-PV-KL_CLI_PROD_TD</t>
  </si>
  <si>
    <t>PH_441LD1_ZT</t>
  </si>
  <si>
    <t>PreHeater</t>
  </si>
  <si>
    <t>N-PLCW1-PH1-S-PV-PH_441LD1_ZT</t>
  </si>
  <si>
    <t>CL_TOTAL_COOLER_AIR_FLOW</t>
  </si>
  <si>
    <t>N-PLCW1-CL1-F-PV-CL_TOTAL_COOLER_AIR_FLOW</t>
  </si>
  <si>
    <t>CL_471FHFJI_B</t>
  </si>
  <si>
    <t>N-PLCW1-CL1-J-PV-CL_471FHFJI_B</t>
  </si>
  <si>
    <t>CL_SPECF_FLOW</t>
  </si>
  <si>
    <t>N-PLCW1-CL1-O-PV-CL_SPECF_FLOW</t>
  </si>
  <si>
    <t>CL_471FNF_SI</t>
  </si>
  <si>
    <t>N-PLCW1-CL1-R-PV-CL_471FNF_SI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</si>
</sst>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D16A2-A842-402B-BDB4-F222F6A008E3}">
  <dimension ref="A1:AC415"/>
  <sheetViews>
    <sheetView tabSelected="1" topLeftCell="E1" workbookViewId="0">
      <selection activeCell="M1" sqref="M1:P1048576"/>
    </sheetView>
  </sheetViews>
  <sheetFormatPr defaultRowHeight="14.5" x14ac:dyDescent="0.35"/>
  <sheetData>
    <row r="1" spans="1:29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t="s">
        <v>12</v>
      </c>
      <c r="N1" t="s">
        <v>5</v>
      </c>
      <c r="O1" t="s">
        <v>12</v>
      </c>
      <c r="P1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</row>
    <row r="2" spans="1:29" x14ac:dyDescent="0.35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t="s">
        <v>38</v>
      </c>
      <c r="N2" t="s">
        <v>32</v>
      </c>
      <c r="O2" t="s">
        <v>38</v>
      </c>
      <c r="P2" t="s">
        <v>39</v>
      </c>
      <c r="Q2" s="1"/>
      <c r="R2" s="1"/>
      <c r="S2" s="1"/>
      <c r="T2" s="1"/>
      <c r="U2" s="1" t="s">
        <v>40</v>
      </c>
      <c r="V2" s="1" t="s">
        <v>41</v>
      </c>
      <c r="W2" s="1" t="s">
        <v>42</v>
      </c>
      <c r="X2" s="1" t="s">
        <v>43</v>
      </c>
      <c r="Y2" s="1" t="s">
        <v>44</v>
      </c>
      <c r="Z2" s="1"/>
      <c r="AA2" s="1"/>
      <c r="AB2" s="1" t="s">
        <v>45</v>
      </c>
      <c r="AC2" s="1"/>
    </row>
    <row r="3" spans="1:29" x14ac:dyDescent="0.35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46</v>
      </c>
      <c r="G3" s="2" t="s">
        <v>33</v>
      </c>
      <c r="H3" s="2" t="s">
        <v>33</v>
      </c>
      <c r="I3" s="2" t="s">
        <v>34</v>
      </c>
      <c r="J3" s="2" t="s">
        <v>35</v>
      </c>
      <c r="K3" s="2" t="s">
        <v>47</v>
      </c>
      <c r="L3" s="2" t="s">
        <v>37</v>
      </c>
      <c r="M3" t="s">
        <v>48</v>
      </c>
      <c r="N3" t="s">
        <v>46</v>
      </c>
      <c r="O3" t="s">
        <v>48</v>
      </c>
      <c r="P3" t="s">
        <v>49</v>
      </c>
      <c r="Q3" s="2"/>
      <c r="R3" s="2"/>
      <c r="S3" s="2"/>
      <c r="T3" s="2"/>
      <c r="U3" s="2" t="s">
        <v>40</v>
      </c>
      <c r="V3" s="2" t="s">
        <v>41</v>
      </c>
      <c r="W3" s="2" t="s">
        <v>50</v>
      </c>
      <c r="X3" s="2" t="s">
        <v>51</v>
      </c>
      <c r="Y3" s="2" t="s">
        <v>44</v>
      </c>
      <c r="Z3" s="2"/>
      <c r="AA3" s="2"/>
      <c r="AB3" s="2" t="s">
        <v>45</v>
      </c>
      <c r="AC3" s="2"/>
    </row>
    <row r="4" spans="1:29" x14ac:dyDescent="0.35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52</v>
      </c>
      <c r="G4" s="1" t="s">
        <v>53</v>
      </c>
      <c r="H4" s="1" t="s">
        <v>54</v>
      </c>
      <c r="I4" s="1" t="s">
        <v>55</v>
      </c>
      <c r="J4" s="1" t="s">
        <v>56</v>
      </c>
      <c r="K4" s="1" t="s">
        <v>57</v>
      </c>
      <c r="L4" s="1" t="s">
        <v>58</v>
      </c>
      <c r="M4" t="s">
        <v>1878</v>
      </c>
      <c r="N4" t="s">
        <v>46</v>
      </c>
      <c r="O4" t="s">
        <v>1878</v>
      </c>
      <c r="P4" t="s">
        <v>1879</v>
      </c>
      <c r="Q4" s="1" t="s">
        <v>61</v>
      </c>
      <c r="R4" s="1" t="s">
        <v>62</v>
      </c>
      <c r="S4" s="1" t="s">
        <v>63</v>
      </c>
      <c r="T4" s="1" t="s">
        <v>63</v>
      </c>
      <c r="U4" s="1" t="s">
        <v>40</v>
      </c>
      <c r="V4" s="1" t="s">
        <v>41</v>
      </c>
      <c r="W4" s="1" t="s">
        <v>64</v>
      </c>
      <c r="X4" s="1" t="s">
        <v>65</v>
      </c>
      <c r="Y4" s="1" t="s">
        <v>44</v>
      </c>
      <c r="Z4" s="1" t="b">
        <v>1</v>
      </c>
      <c r="AA4" s="1"/>
      <c r="AB4" s="1" t="s">
        <v>45</v>
      </c>
      <c r="AC4" s="1"/>
    </row>
    <row r="5" spans="1:29" x14ac:dyDescent="0.35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52</v>
      </c>
      <c r="G5" s="2" t="s">
        <v>53</v>
      </c>
      <c r="H5" s="2" t="s">
        <v>54</v>
      </c>
      <c r="I5" s="2" t="s">
        <v>55</v>
      </c>
      <c r="J5" s="2" t="s">
        <v>56</v>
      </c>
      <c r="K5" s="2" t="s">
        <v>66</v>
      </c>
      <c r="L5" s="2" t="s">
        <v>58</v>
      </c>
      <c r="M5" t="s">
        <v>1880</v>
      </c>
      <c r="N5" t="s">
        <v>1881</v>
      </c>
      <c r="O5" t="s">
        <v>1880</v>
      </c>
      <c r="P5" t="s">
        <v>1882</v>
      </c>
      <c r="Q5" s="2" t="s">
        <v>61</v>
      </c>
      <c r="R5" s="2" t="s">
        <v>62</v>
      </c>
      <c r="S5" s="2" t="s">
        <v>63</v>
      </c>
      <c r="T5" s="2" t="s">
        <v>63</v>
      </c>
      <c r="U5" s="2" t="s">
        <v>40</v>
      </c>
      <c r="V5" s="2" t="s">
        <v>41</v>
      </c>
      <c r="W5" s="2" t="s">
        <v>69</v>
      </c>
      <c r="X5" s="2" t="s">
        <v>70</v>
      </c>
      <c r="Y5" s="2" t="s">
        <v>44</v>
      </c>
      <c r="Z5" s="2" t="b">
        <v>1</v>
      </c>
      <c r="AA5" s="2"/>
      <c r="AB5" s="2" t="s">
        <v>45</v>
      </c>
      <c r="AC5" s="2"/>
    </row>
    <row r="6" spans="1:29" x14ac:dyDescent="0.35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52</v>
      </c>
      <c r="G6" s="1" t="s">
        <v>53</v>
      </c>
      <c r="H6" s="1" t="s">
        <v>54</v>
      </c>
      <c r="I6" s="1" t="s">
        <v>55</v>
      </c>
      <c r="J6" s="1" t="s">
        <v>56</v>
      </c>
      <c r="K6" s="1" t="s">
        <v>71</v>
      </c>
      <c r="L6" s="1" t="s">
        <v>58</v>
      </c>
      <c r="M6" t="s">
        <v>59</v>
      </c>
      <c r="N6" t="s">
        <v>52</v>
      </c>
      <c r="O6" t="s">
        <v>59</v>
      </c>
      <c r="P6" t="s">
        <v>60</v>
      </c>
      <c r="Q6" s="1" t="s">
        <v>61</v>
      </c>
      <c r="R6" s="1" t="s">
        <v>62</v>
      </c>
      <c r="S6" s="1" t="s">
        <v>63</v>
      </c>
      <c r="T6" s="1" t="s">
        <v>63</v>
      </c>
      <c r="U6" s="1" t="s">
        <v>40</v>
      </c>
      <c r="V6" s="1" t="s">
        <v>41</v>
      </c>
      <c r="W6" s="1" t="s">
        <v>74</v>
      </c>
      <c r="X6" s="1" t="s">
        <v>75</v>
      </c>
      <c r="Y6" s="1" t="s">
        <v>44</v>
      </c>
      <c r="Z6" s="1" t="b">
        <v>1</v>
      </c>
      <c r="AA6" s="1"/>
      <c r="AB6" s="1" t="s">
        <v>45</v>
      </c>
      <c r="AC6" s="1"/>
    </row>
    <row r="7" spans="1:29" x14ac:dyDescent="0.35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52</v>
      </c>
      <c r="G7" s="2" t="s">
        <v>53</v>
      </c>
      <c r="H7" s="2" t="s">
        <v>54</v>
      </c>
      <c r="I7" s="2" t="s">
        <v>55</v>
      </c>
      <c r="J7" s="2" t="s">
        <v>56</v>
      </c>
      <c r="K7" s="2" t="s">
        <v>76</v>
      </c>
      <c r="L7" s="2" t="s">
        <v>58</v>
      </c>
      <c r="M7" t="s">
        <v>67</v>
      </c>
      <c r="N7" t="s">
        <v>52</v>
      </c>
      <c r="O7" t="s">
        <v>67</v>
      </c>
      <c r="P7" t="s">
        <v>68</v>
      </c>
      <c r="Q7" s="2" t="s">
        <v>61</v>
      </c>
      <c r="R7" s="2" t="s">
        <v>62</v>
      </c>
      <c r="S7" s="2" t="s">
        <v>63</v>
      </c>
      <c r="T7" s="2" t="s">
        <v>63</v>
      </c>
      <c r="U7" s="2" t="s">
        <v>40</v>
      </c>
      <c r="V7" s="2" t="s">
        <v>41</v>
      </c>
      <c r="W7" s="2" t="s">
        <v>79</v>
      </c>
      <c r="X7" s="2" t="s">
        <v>80</v>
      </c>
      <c r="Y7" s="2" t="s">
        <v>44</v>
      </c>
      <c r="Z7" s="2" t="b">
        <v>1</v>
      </c>
      <c r="AA7" s="2"/>
      <c r="AB7" s="2" t="s">
        <v>45</v>
      </c>
      <c r="AC7" s="2"/>
    </row>
    <row r="8" spans="1:29" x14ac:dyDescent="0.35">
      <c r="A8" s="1" t="s">
        <v>27</v>
      </c>
      <c r="B8" s="1" t="s">
        <v>28</v>
      </c>
      <c r="C8" s="1" t="s">
        <v>29</v>
      </c>
      <c r="D8" s="1" t="s">
        <v>30</v>
      </c>
      <c r="E8" s="1" t="s">
        <v>31</v>
      </c>
      <c r="F8" s="1" t="s">
        <v>52</v>
      </c>
      <c r="G8" s="1" t="s">
        <v>53</v>
      </c>
      <c r="H8" s="1" t="s">
        <v>54</v>
      </c>
      <c r="I8" s="1" t="s">
        <v>55</v>
      </c>
      <c r="J8" s="1" t="s">
        <v>56</v>
      </c>
      <c r="K8" s="1" t="s">
        <v>81</v>
      </c>
      <c r="L8" s="1" t="s">
        <v>58</v>
      </c>
      <c r="M8" t="s">
        <v>72</v>
      </c>
      <c r="N8" t="s">
        <v>52</v>
      </c>
      <c r="O8" t="s">
        <v>72</v>
      </c>
      <c r="P8" t="s">
        <v>73</v>
      </c>
      <c r="Q8" s="1" t="s">
        <v>61</v>
      </c>
      <c r="R8" s="1" t="s">
        <v>62</v>
      </c>
      <c r="S8" s="1" t="s">
        <v>63</v>
      </c>
      <c r="T8" s="1" t="s">
        <v>63</v>
      </c>
      <c r="U8" s="1" t="s">
        <v>40</v>
      </c>
      <c r="V8" s="1" t="s">
        <v>41</v>
      </c>
      <c r="W8" s="1" t="s">
        <v>84</v>
      </c>
      <c r="X8" s="1" t="s">
        <v>85</v>
      </c>
      <c r="Y8" s="1" t="s">
        <v>44</v>
      </c>
      <c r="Z8" s="1" t="b">
        <v>1</v>
      </c>
      <c r="AA8" s="1"/>
      <c r="AB8" s="1" t="s">
        <v>45</v>
      </c>
      <c r="AC8" s="1"/>
    </row>
    <row r="9" spans="1:29" x14ac:dyDescent="0.35">
      <c r="A9" s="2" t="s">
        <v>27</v>
      </c>
      <c r="B9" s="2" t="s">
        <v>28</v>
      </c>
      <c r="C9" s="2" t="s">
        <v>29</v>
      </c>
      <c r="D9" s="2" t="s">
        <v>30</v>
      </c>
      <c r="E9" s="2" t="s">
        <v>31</v>
      </c>
      <c r="F9" s="2" t="s">
        <v>52</v>
      </c>
      <c r="G9" s="2" t="s">
        <v>53</v>
      </c>
      <c r="H9" s="2" t="s">
        <v>54</v>
      </c>
      <c r="I9" s="2" t="s">
        <v>86</v>
      </c>
      <c r="J9" s="2" t="s">
        <v>56</v>
      </c>
      <c r="K9" s="2" t="s">
        <v>87</v>
      </c>
      <c r="L9" s="2" t="s">
        <v>88</v>
      </c>
      <c r="M9" t="s">
        <v>77</v>
      </c>
      <c r="N9" t="s">
        <v>52</v>
      </c>
      <c r="O9" t="s">
        <v>77</v>
      </c>
      <c r="P9" t="s">
        <v>78</v>
      </c>
      <c r="Q9" s="2" t="s">
        <v>61</v>
      </c>
      <c r="R9" s="2" t="s">
        <v>91</v>
      </c>
      <c r="S9" s="2" t="s">
        <v>63</v>
      </c>
      <c r="T9" s="2" t="s">
        <v>63</v>
      </c>
      <c r="U9" s="2" t="s">
        <v>40</v>
      </c>
      <c r="V9" s="2" t="s">
        <v>41</v>
      </c>
      <c r="W9" s="2" t="s">
        <v>92</v>
      </c>
      <c r="X9" s="2" t="s">
        <v>93</v>
      </c>
      <c r="Y9" s="2" t="s">
        <v>44</v>
      </c>
      <c r="Z9" s="2" t="b">
        <v>1</v>
      </c>
      <c r="AA9" s="2"/>
      <c r="AB9" s="2" t="s">
        <v>45</v>
      </c>
      <c r="AC9" s="2"/>
    </row>
    <row r="10" spans="1:29" x14ac:dyDescent="0.35">
      <c r="A10" s="1" t="s">
        <v>27</v>
      </c>
      <c r="B10" s="1" t="s">
        <v>28</v>
      </c>
      <c r="C10" s="1" t="s">
        <v>29</v>
      </c>
      <c r="D10" s="1" t="s">
        <v>30</v>
      </c>
      <c r="E10" s="1" t="s">
        <v>31</v>
      </c>
      <c r="F10" s="1" t="s">
        <v>52</v>
      </c>
      <c r="G10" s="1" t="s">
        <v>53</v>
      </c>
      <c r="H10" s="1" t="s">
        <v>54</v>
      </c>
      <c r="I10" s="1" t="s">
        <v>86</v>
      </c>
      <c r="J10" s="1" t="s">
        <v>56</v>
      </c>
      <c r="K10" s="1" t="s">
        <v>94</v>
      </c>
      <c r="L10" s="1" t="s">
        <v>88</v>
      </c>
      <c r="M10" t="s">
        <v>82</v>
      </c>
      <c r="N10" t="s">
        <v>52</v>
      </c>
      <c r="O10" t="s">
        <v>82</v>
      </c>
      <c r="P10" t="s">
        <v>83</v>
      </c>
      <c r="Q10" s="1" t="s">
        <v>61</v>
      </c>
      <c r="R10" s="1" t="s">
        <v>91</v>
      </c>
      <c r="S10" s="1" t="s">
        <v>63</v>
      </c>
      <c r="T10" s="1" t="s">
        <v>63</v>
      </c>
      <c r="U10" s="1" t="s">
        <v>40</v>
      </c>
      <c r="V10" s="1" t="s">
        <v>41</v>
      </c>
      <c r="W10" s="1" t="s">
        <v>97</v>
      </c>
      <c r="X10" s="1" t="s">
        <v>98</v>
      </c>
      <c r="Y10" s="1" t="s">
        <v>44</v>
      </c>
      <c r="Z10" s="1" t="b">
        <v>1</v>
      </c>
      <c r="AA10" s="1"/>
      <c r="AB10" s="1" t="s">
        <v>45</v>
      </c>
      <c r="AC10" s="1"/>
    </row>
    <row r="11" spans="1:29" x14ac:dyDescent="0.35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52</v>
      </c>
      <c r="G11" s="2" t="s">
        <v>53</v>
      </c>
      <c r="H11" s="2" t="s">
        <v>54</v>
      </c>
      <c r="I11" s="2" t="s">
        <v>86</v>
      </c>
      <c r="J11" s="2" t="s">
        <v>56</v>
      </c>
      <c r="K11" s="2" t="s">
        <v>99</v>
      </c>
      <c r="L11" s="2" t="s">
        <v>88</v>
      </c>
      <c r="M11" t="s">
        <v>89</v>
      </c>
      <c r="N11" t="s">
        <v>52</v>
      </c>
      <c r="O11" t="s">
        <v>89</v>
      </c>
      <c r="P11" t="s">
        <v>90</v>
      </c>
      <c r="Q11" s="2" t="s">
        <v>61</v>
      </c>
      <c r="R11" s="2" t="s">
        <v>102</v>
      </c>
      <c r="S11" s="2" t="s">
        <v>63</v>
      </c>
      <c r="T11" s="2" t="s">
        <v>63</v>
      </c>
      <c r="U11" s="2" t="s">
        <v>40</v>
      </c>
      <c r="V11" s="2" t="s">
        <v>41</v>
      </c>
      <c r="W11" s="2" t="s">
        <v>103</v>
      </c>
      <c r="X11" s="2" t="s">
        <v>104</v>
      </c>
      <c r="Y11" s="2" t="s">
        <v>44</v>
      </c>
      <c r="Z11" s="2" t="b">
        <v>1</v>
      </c>
      <c r="AA11" s="2"/>
      <c r="AB11" s="2" t="s">
        <v>45</v>
      </c>
      <c r="AC11" s="2"/>
    </row>
    <row r="12" spans="1:29" x14ac:dyDescent="0.35">
      <c r="A12" s="1" t="s">
        <v>27</v>
      </c>
      <c r="B12" s="1" t="s">
        <v>28</v>
      </c>
      <c r="C12" s="1" t="s">
        <v>29</v>
      </c>
      <c r="D12" s="1" t="s">
        <v>30</v>
      </c>
      <c r="E12" s="1" t="s">
        <v>31</v>
      </c>
      <c r="F12" s="1" t="s">
        <v>52</v>
      </c>
      <c r="G12" s="1" t="s">
        <v>53</v>
      </c>
      <c r="H12" s="1" t="s">
        <v>54</v>
      </c>
      <c r="I12" s="1" t="s">
        <v>86</v>
      </c>
      <c r="J12" s="1" t="s">
        <v>56</v>
      </c>
      <c r="K12" s="1" t="s">
        <v>105</v>
      </c>
      <c r="L12" s="1" t="s">
        <v>88</v>
      </c>
      <c r="M12" t="s">
        <v>95</v>
      </c>
      <c r="N12" t="s">
        <v>52</v>
      </c>
      <c r="O12" t="s">
        <v>95</v>
      </c>
      <c r="P12" t="s">
        <v>96</v>
      </c>
      <c r="Q12" s="1" t="s">
        <v>61</v>
      </c>
      <c r="R12" s="1" t="s">
        <v>108</v>
      </c>
      <c r="S12" s="1" t="s">
        <v>63</v>
      </c>
      <c r="T12" s="1" t="s">
        <v>63</v>
      </c>
      <c r="U12" s="1" t="s">
        <v>40</v>
      </c>
      <c r="V12" s="1" t="s">
        <v>41</v>
      </c>
      <c r="W12" s="1" t="s">
        <v>109</v>
      </c>
      <c r="X12" s="1" t="s">
        <v>110</v>
      </c>
      <c r="Y12" s="1" t="s">
        <v>44</v>
      </c>
      <c r="Z12" s="1" t="b">
        <v>1</v>
      </c>
      <c r="AA12" s="1"/>
      <c r="AB12" s="1" t="s">
        <v>45</v>
      </c>
      <c r="AC12" s="1"/>
    </row>
    <row r="13" spans="1:29" x14ac:dyDescent="0.35">
      <c r="A13" s="2" t="s">
        <v>27</v>
      </c>
      <c r="B13" s="2" t="s">
        <v>28</v>
      </c>
      <c r="C13" s="2" t="s">
        <v>29</v>
      </c>
      <c r="D13" s="2" t="s">
        <v>30</v>
      </c>
      <c r="E13" s="2" t="s">
        <v>31</v>
      </c>
      <c r="F13" s="2" t="s">
        <v>52</v>
      </c>
      <c r="G13" s="2" t="s">
        <v>53</v>
      </c>
      <c r="H13" s="2" t="s">
        <v>54</v>
      </c>
      <c r="I13" s="2" t="s">
        <v>86</v>
      </c>
      <c r="J13" s="2" t="s">
        <v>56</v>
      </c>
      <c r="K13" s="2" t="s">
        <v>111</v>
      </c>
      <c r="L13" s="2" t="s">
        <v>88</v>
      </c>
      <c r="M13" t="s">
        <v>100</v>
      </c>
      <c r="N13" t="s">
        <v>52</v>
      </c>
      <c r="O13" t="s">
        <v>100</v>
      </c>
      <c r="P13" t="s">
        <v>101</v>
      </c>
      <c r="Q13" s="2" t="s">
        <v>61</v>
      </c>
      <c r="R13" s="2" t="s">
        <v>108</v>
      </c>
      <c r="S13" s="2" t="s">
        <v>63</v>
      </c>
      <c r="T13" s="2" t="s">
        <v>63</v>
      </c>
      <c r="U13" s="2" t="s">
        <v>40</v>
      </c>
      <c r="V13" s="2" t="s">
        <v>41</v>
      </c>
      <c r="W13" s="2" t="s">
        <v>114</v>
      </c>
      <c r="X13" s="2" t="s">
        <v>115</v>
      </c>
      <c r="Y13" s="2" t="s">
        <v>44</v>
      </c>
      <c r="Z13" s="2" t="b">
        <v>1</v>
      </c>
      <c r="AA13" s="2"/>
      <c r="AB13" s="2" t="s">
        <v>45</v>
      </c>
      <c r="AC13" s="2"/>
    </row>
    <row r="14" spans="1:29" x14ac:dyDescent="0.35">
      <c r="A14" s="1" t="s">
        <v>27</v>
      </c>
      <c r="B14" s="1" t="s">
        <v>28</v>
      </c>
      <c r="C14" s="1" t="s">
        <v>29</v>
      </c>
      <c r="D14" s="1" t="s">
        <v>30</v>
      </c>
      <c r="E14" s="1" t="s">
        <v>31</v>
      </c>
      <c r="F14" s="1" t="s">
        <v>52</v>
      </c>
      <c r="G14" s="1" t="s">
        <v>33</v>
      </c>
      <c r="H14" s="1" t="s">
        <v>33</v>
      </c>
      <c r="I14" s="1" t="s">
        <v>86</v>
      </c>
      <c r="J14" s="1" t="s">
        <v>56</v>
      </c>
      <c r="K14" s="1" t="s">
        <v>116</v>
      </c>
      <c r="L14" s="1" t="s">
        <v>88</v>
      </c>
      <c r="M14" t="s">
        <v>106</v>
      </c>
      <c r="N14" t="s">
        <v>52</v>
      </c>
      <c r="O14" t="s">
        <v>106</v>
      </c>
      <c r="P14" t="s">
        <v>107</v>
      </c>
      <c r="Q14" s="1"/>
      <c r="R14" s="1"/>
      <c r="S14" s="1"/>
      <c r="T14" s="1"/>
      <c r="U14" s="1" t="s">
        <v>40</v>
      </c>
      <c r="V14" s="1" t="s">
        <v>41</v>
      </c>
      <c r="W14" s="1" t="s">
        <v>119</v>
      </c>
      <c r="X14" s="1" t="s">
        <v>120</v>
      </c>
      <c r="Y14" s="1" t="s">
        <v>44</v>
      </c>
      <c r="Z14" s="1"/>
      <c r="AA14" s="1"/>
      <c r="AB14" s="1" t="s">
        <v>45</v>
      </c>
      <c r="AC14" s="1"/>
    </row>
    <row r="15" spans="1:29" x14ac:dyDescent="0.35">
      <c r="A15" s="2" t="s">
        <v>27</v>
      </c>
      <c r="B15" s="2" t="s">
        <v>28</v>
      </c>
      <c r="C15" s="2" t="s">
        <v>29</v>
      </c>
      <c r="D15" s="2" t="s">
        <v>30</v>
      </c>
      <c r="E15" s="2" t="s">
        <v>31</v>
      </c>
      <c r="F15" s="2" t="s">
        <v>52</v>
      </c>
      <c r="G15" s="2" t="s">
        <v>53</v>
      </c>
      <c r="H15" s="2" t="s">
        <v>54</v>
      </c>
      <c r="I15" s="2" t="s">
        <v>86</v>
      </c>
      <c r="J15" s="2" t="s">
        <v>56</v>
      </c>
      <c r="K15" s="2" t="s">
        <v>121</v>
      </c>
      <c r="L15" s="2" t="s">
        <v>88</v>
      </c>
      <c r="M15" t="s">
        <v>112</v>
      </c>
      <c r="N15" t="s">
        <v>52</v>
      </c>
      <c r="O15" t="s">
        <v>112</v>
      </c>
      <c r="P15" t="s">
        <v>113</v>
      </c>
      <c r="Q15" s="2" t="s">
        <v>61</v>
      </c>
      <c r="R15" s="2" t="s">
        <v>91</v>
      </c>
      <c r="S15" s="2" t="s">
        <v>63</v>
      </c>
      <c r="T15" s="2" t="s">
        <v>63</v>
      </c>
      <c r="U15" s="2" t="s">
        <v>40</v>
      </c>
      <c r="V15" s="2" t="s">
        <v>41</v>
      </c>
      <c r="W15" s="2" t="s">
        <v>124</v>
      </c>
      <c r="X15" s="2" t="s">
        <v>125</v>
      </c>
      <c r="Y15" s="2" t="s">
        <v>44</v>
      </c>
      <c r="Z15" s="2" t="b">
        <v>1</v>
      </c>
      <c r="AA15" s="2"/>
      <c r="AB15" s="2" t="s">
        <v>45</v>
      </c>
      <c r="AC15" s="2"/>
    </row>
    <row r="16" spans="1:29" x14ac:dyDescent="0.35">
      <c r="A16" s="1" t="s">
        <v>27</v>
      </c>
      <c r="B16" s="1" t="s">
        <v>28</v>
      </c>
      <c r="C16" s="1" t="s">
        <v>29</v>
      </c>
      <c r="D16" s="1" t="s">
        <v>30</v>
      </c>
      <c r="E16" s="1" t="s">
        <v>31</v>
      </c>
      <c r="F16" s="1" t="s">
        <v>52</v>
      </c>
      <c r="G16" s="1" t="s">
        <v>53</v>
      </c>
      <c r="H16" s="1" t="s">
        <v>54</v>
      </c>
      <c r="I16" s="1" t="s">
        <v>86</v>
      </c>
      <c r="J16" s="1" t="s">
        <v>56</v>
      </c>
      <c r="K16" s="1" t="s">
        <v>126</v>
      </c>
      <c r="L16" s="1" t="s">
        <v>88</v>
      </c>
      <c r="M16" t="s">
        <v>117</v>
      </c>
      <c r="N16" t="s">
        <v>52</v>
      </c>
      <c r="O16" t="s">
        <v>117</v>
      </c>
      <c r="P16" t="s">
        <v>118</v>
      </c>
      <c r="Q16" s="1" t="s">
        <v>61</v>
      </c>
      <c r="R16" s="1" t="s">
        <v>129</v>
      </c>
      <c r="S16" s="1" t="s">
        <v>63</v>
      </c>
      <c r="T16" s="1" t="s">
        <v>63</v>
      </c>
      <c r="U16" s="1" t="s">
        <v>40</v>
      </c>
      <c r="V16" s="1" t="s">
        <v>41</v>
      </c>
      <c r="W16" s="1" t="s">
        <v>130</v>
      </c>
      <c r="X16" s="1" t="s">
        <v>131</v>
      </c>
      <c r="Y16" s="1" t="s">
        <v>44</v>
      </c>
      <c r="Z16" s="1" t="b">
        <v>1</v>
      </c>
      <c r="AA16" s="1"/>
      <c r="AB16" s="1" t="s">
        <v>45</v>
      </c>
      <c r="AC16" s="1"/>
    </row>
    <row r="17" spans="1:29" x14ac:dyDescent="0.35">
      <c r="A17" s="2" t="s">
        <v>27</v>
      </c>
      <c r="B17" s="2" t="s">
        <v>28</v>
      </c>
      <c r="C17" s="2" t="s">
        <v>29</v>
      </c>
      <c r="D17" s="2" t="s">
        <v>30</v>
      </c>
      <c r="E17" s="2" t="s">
        <v>31</v>
      </c>
      <c r="F17" s="2" t="s">
        <v>52</v>
      </c>
      <c r="G17" s="2" t="s">
        <v>53</v>
      </c>
      <c r="H17" s="2" t="s">
        <v>54</v>
      </c>
      <c r="I17" s="2" t="s">
        <v>86</v>
      </c>
      <c r="J17" s="2" t="s">
        <v>56</v>
      </c>
      <c r="K17" s="2" t="s">
        <v>132</v>
      </c>
      <c r="L17" s="2" t="s">
        <v>133</v>
      </c>
      <c r="M17" t="s">
        <v>122</v>
      </c>
      <c r="N17" t="s">
        <v>52</v>
      </c>
      <c r="O17" t="s">
        <v>122</v>
      </c>
      <c r="P17" t="s">
        <v>123</v>
      </c>
      <c r="Q17" s="2" t="s">
        <v>61</v>
      </c>
      <c r="R17" s="2" t="s">
        <v>136</v>
      </c>
      <c r="S17" s="2" t="s">
        <v>63</v>
      </c>
      <c r="T17" s="2" t="s">
        <v>63</v>
      </c>
      <c r="U17" s="2" t="s">
        <v>40</v>
      </c>
      <c r="V17" s="2" t="s">
        <v>41</v>
      </c>
      <c r="W17" s="2" t="s">
        <v>137</v>
      </c>
      <c r="X17" s="2" t="s">
        <v>138</v>
      </c>
      <c r="Y17" s="2" t="s">
        <v>44</v>
      </c>
      <c r="Z17" s="2" t="b">
        <v>1</v>
      </c>
      <c r="AA17" s="2"/>
      <c r="AB17" s="2" t="s">
        <v>45</v>
      </c>
      <c r="AC17" s="2"/>
    </row>
    <row r="18" spans="1:29" x14ac:dyDescent="0.35">
      <c r="A18" s="1" t="s">
        <v>27</v>
      </c>
      <c r="B18" s="1" t="s">
        <v>28</v>
      </c>
      <c r="C18" s="1" t="s">
        <v>29</v>
      </c>
      <c r="D18" s="1" t="s">
        <v>30</v>
      </c>
      <c r="E18" s="1" t="s">
        <v>31</v>
      </c>
      <c r="F18" s="1" t="s">
        <v>52</v>
      </c>
      <c r="G18" s="1" t="s">
        <v>53</v>
      </c>
      <c r="H18" s="1" t="s">
        <v>54</v>
      </c>
      <c r="I18" s="1" t="s">
        <v>86</v>
      </c>
      <c r="J18" s="1" t="s">
        <v>139</v>
      </c>
      <c r="K18" s="1" t="s">
        <v>140</v>
      </c>
      <c r="L18" s="1" t="s">
        <v>141</v>
      </c>
      <c r="M18" t="s">
        <v>127</v>
      </c>
      <c r="N18" t="s">
        <v>52</v>
      </c>
      <c r="O18" t="s">
        <v>127</v>
      </c>
      <c r="P18" t="s">
        <v>128</v>
      </c>
      <c r="Q18" s="1" t="s">
        <v>61</v>
      </c>
      <c r="R18" s="1" t="s">
        <v>144</v>
      </c>
      <c r="S18" s="1" t="s">
        <v>63</v>
      </c>
      <c r="T18" s="1" t="s">
        <v>63</v>
      </c>
      <c r="U18" s="1" t="s">
        <v>40</v>
      </c>
      <c r="V18" s="1" t="s">
        <v>41</v>
      </c>
      <c r="W18" s="1" t="s">
        <v>145</v>
      </c>
      <c r="X18" s="1" t="s">
        <v>146</v>
      </c>
      <c r="Y18" s="1" t="s">
        <v>44</v>
      </c>
      <c r="Z18" s="1" t="b">
        <v>1</v>
      </c>
      <c r="AA18" s="1"/>
      <c r="AB18" s="1" t="s">
        <v>45</v>
      </c>
      <c r="AC18" s="1"/>
    </row>
    <row r="19" spans="1:29" x14ac:dyDescent="0.35">
      <c r="A19" s="2" t="s">
        <v>27</v>
      </c>
      <c r="B19" s="2" t="s">
        <v>28</v>
      </c>
      <c r="C19" s="2" t="s">
        <v>29</v>
      </c>
      <c r="D19" s="2" t="s">
        <v>30</v>
      </c>
      <c r="E19" s="2" t="s">
        <v>31</v>
      </c>
      <c r="F19" s="2" t="s">
        <v>52</v>
      </c>
      <c r="G19" s="2" t="s">
        <v>53</v>
      </c>
      <c r="H19" s="2" t="s">
        <v>54</v>
      </c>
      <c r="I19" s="2" t="s">
        <v>86</v>
      </c>
      <c r="J19" s="2" t="s">
        <v>139</v>
      </c>
      <c r="K19" s="2" t="s">
        <v>147</v>
      </c>
      <c r="L19" s="2" t="s">
        <v>141</v>
      </c>
      <c r="M19" t="s">
        <v>134</v>
      </c>
      <c r="N19" t="s">
        <v>52</v>
      </c>
      <c r="O19" t="s">
        <v>134</v>
      </c>
      <c r="P19" t="s">
        <v>135</v>
      </c>
      <c r="Q19" s="2" t="s">
        <v>61</v>
      </c>
      <c r="R19" s="2" t="s">
        <v>150</v>
      </c>
      <c r="S19" s="2" t="s">
        <v>63</v>
      </c>
      <c r="T19" s="2" t="s">
        <v>63</v>
      </c>
      <c r="U19" s="2" t="s">
        <v>40</v>
      </c>
      <c r="V19" s="2" t="s">
        <v>41</v>
      </c>
      <c r="W19" s="2" t="s">
        <v>151</v>
      </c>
      <c r="X19" s="2" t="s">
        <v>152</v>
      </c>
      <c r="Y19" s="2" t="s">
        <v>44</v>
      </c>
      <c r="Z19" s="2" t="b">
        <v>1</v>
      </c>
      <c r="AA19" s="2"/>
      <c r="AB19" s="2" t="s">
        <v>45</v>
      </c>
      <c r="AC19" s="2"/>
    </row>
    <row r="20" spans="1:29" x14ac:dyDescent="0.35">
      <c r="A20" s="1" t="s">
        <v>27</v>
      </c>
      <c r="B20" s="1" t="s">
        <v>28</v>
      </c>
      <c r="C20" s="1" t="s">
        <v>29</v>
      </c>
      <c r="D20" s="1" t="s">
        <v>30</v>
      </c>
      <c r="E20" s="1" t="s">
        <v>31</v>
      </c>
      <c r="F20" s="1" t="s">
        <v>52</v>
      </c>
      <c r="G20" s="1" t="s">
        <v>53</v>
      </c>
      <c r="H20" s="1" t="s">
        <v>54</v>
      </c>
      <c r="I20" s="1" t="s">
        <v>86</v>
      </c>
      <c r="J20" s="1" t="s">
        <v>139</v>
      </c>
      <c r="K20" s="1" t="s">
        <v>153</v>
      </c>
      <c r="L20" s="1" t="s">
        <v>141</v>
      </c>
      <c r="M20" t="s">
        <v>142</v>
      </c>
      <c r="N20" t="s">
        <v>52</v>
      </c>
      <c r="O20" t="s">
        <v>142</v>
      </c>
      <c r="P20" t="s">
        <v>143</v>
      </c>
      <c r="Q20" s="1" t="s">
        <v>61</v>
      </c>
      <c r="R20" s="1" t="s">
        <v>156</v>
      </c>
      <c r="S20" s="1" t="s">
        <v>63</v>
      </c>
      <c r="T20" s="1" t="s">
        <v>63</v>
      </c>
      <c r="U20" s="1" t="s">
        <v>40</v>
      </c>
      <c r="V20" s="1" t="s">
        <v>41</v>
      </c>
      <c r="W20" s="1" t="s">
        <v>157</v>
      </c>
      <c r="X20" s="1" t="s">
        <v>158</v>
      </c>
      <c r="Y20" s="1" t="s">
        <v>44</v>
      </c>
      <c r="Z20" s="1" t="b">
        <v>1</v>
      </c>
      <c r="AA20" s="1"/>
      <c r="AB20" s="1" t="s">
        <v>45</v>
      </c>
      <c r="AC20" s="1"/>
    </row>
    <row r="21" spans="1:29" x14ac:dyDescent="0.35">
      <c r="A21" s="2" t="s">
        <v>27</v>
      </c>
      <c r="B21" s="2" t="s">
        <v>28</v>
      </c>
      <c r="C21" s="2" t="s">
        <v>29</v>
      </c>
      <c r="D21" s="2" t="s">
        <v>30</v>
      </c>
      <c r="E21" s="2" t="s">
        <v>31</v>
      </c>
      <c r="F21" s="2" t="s">
        <v>52</v>
      </c>
      <c r="G21" s="2" t="s">
        <v>53</v>
      </c>
      <c r="H21" s="2" t="s">
        <v>54</v>
      </c>
      <c r="I21" s="2" t="s">
        <v>86</v>
      </c>
      <c r="J21" s="2" t="s">
        <v>139</v>
      </c>
      <c r="K21" s="2" t="s">
        <v>153</v>
      </c>
      <c r="L21" s="2" t="s">
        <v>141</v>
      </c>
      <c r="M21" t="s">
        <v>148</v>
      </c>
      <c r="N21" t="s">
        <v>52</v>
      </c>
      <c r="O21" t="s">
        <v>148</v>
      </c>
      <c r="P21" t="s">
        <v>149</v>
      </c>
      <c r="Q21" s="2" t="s">
        <v>61</v>
      </c>
      <c r="R21" s="2" t="s">
        <v>156</v>
      </c>
      <c r="S21" s="2" t="s">
        <v>63</v>
      </c>
      <c r="T21" s="2" t="s">
        <v>63</v>
      </c>
      <c r="U21" s="2" t="s">
        <v>40</v>
      </c>
      <c r="V21" s="2" t="s">
        <v>41</v>
      </c>
      <c r="W21" s="2" t="s">
        <v>161</v>
      </c>
      <c r="X21" s="2" t="s">
        <v>162</v>
      </c>
      <c r="Y21" s="2" t="s">
        <v>44</v>
      </c>
      <c r="Z21" s="2" t="b">
        <v>1</v>
      </c>
      <c r="AA21" s="2"/>
      <c r="AB21" s="2" t="s">
        <v>45</v>
      </c>
      <c r="AC21" s="2"/>
    </row>
    <row r="22" spans="1:29" x14ac:dyDescent="0.35">
      <c r="A22" s="1" t="s">
        <v>27</v>
      </c>
      <c r="B22" s="1" t="s">
        <v>28</v>
      </c>
      <c r="C22" s="1" t="s">
        <v>29</v>
      </c>
      <c r="D22" s="1" t="s">
        <v>30</v>
      </c>
      <c r="E22" s="1" t="s">
        <v>31</v>
      </c>
      <c r="F22" s="1" t="s">
        <v>52</v>
      </c>
      <c r="G22" s="1" t="s">
        <v>53</v>
      </c>
      <c r="H22" s="1" t="s">
        <v>54</v>
      </c>
      <c r="I22" s="1" t="s">
        <v>86</v>
      </c>
      <c r="J22" s="1" t="s">
        <v>163</v>
      </c>
      <c r="K22" s="1" t="s">
        <v>164</v>
      </c>
      <c r="L22" s="1" t="s">
        <v>165</v>
      </c>
      <c r="M22" t="s">
        <v>154</v>
      </c>
      <c r="N22" t="s">
        <v>52</v>
      </c>
      <c r="O22" t="s">
        <v>154</v>
      </c>
      <c r="P22" t="s">
        <v>155</v>
      </c>
      <c r="Q22" s="1" t="s">
        <v>61</v>
      </c>
      <c r="R22" s="1" t="s">
        <v>168</v>
      </c>
      <c r="S22" s="1" t="s">
        <v>63</v>
      </c>
      <c r="T22" s="1" t="s">
        <v>63</v>
      </c>
      <c r="U22" s="1" t="s">
        <v>40</v>
      </c>
      <c r="V22" s="1" t="s">
        <v>41</v>
      </c>
      <c r="W22" s="1" t="s">
        <v>169</v>
      </c>
      <c r="X22" s="1" t="s">
        <v>170</v>
      </c>
      <c r="Y22" s="1" t="s">
        <v>44</v>
      </c>
      <c r="Z22" s="1" t="b">
        <v>1</v>
      </c>
      <c r="AA22" s="1"/>
      <c r="AB22" s="1" t="s">
        <v>45</v>
      </c>
      <c r="AC22" s="1"/>
    </row>
    <row r="23" spans="1:29" x14ac:dyDescent="0.35">
      <c r="A23" s="2" t="s">
        <v>27</v>
      </c>
      <c r="B23" s="2" t="s">
        <v>28</v>
      </c>
      <c r="C23" s="2" t="s">
        <v>29</v>
      </c>
      <c r="D23" s="2" t="s">
        <v>30</v>
      </c>
      <c r="E23" s="2" t="s">
        <v>31</v>
      </c>
      <c r="F23" s="2" t="s">
        <v>52</v>
      </c>
      <c r="G23" s="2" t="s">
        <v>33</v>
      </c>
      <c r="H23" s="2" t="s">
        <v>33</v>
      </c>
      <c r="I23" s="2" t="s">
        <v>86</v>
      </c>
      <c r="J23" s="2" t="s">
        <v>163</v>
      </c>
      <c r="K23" s="2" t="s">
        <v>171</v>
      </c>
      <c r="L23" s="2" t="s">
        <v>165</v>
      </c>
      <c r="M23" t="s">
        <v>159</v>
      </c>
      <c r="N23" t="s">
        <v>52</v>
      </c>
      <c r="O23" t="s">
        <v>159</v>
      </c>
      <c r="P23" t="s">
        <v>160</v>
      </c>
      <c r="Q23" s="2"/>
      <c r="R23" s="2"/>
      <c r="S23" s="2"/>
      <c r="T23" s="2"/>
      <c r="U23" s="2" t="s">
        <v>40</v>
      </c>
      <c r="V23" s="2" t="s">
        <v>41</v>
      </c>
      <c r="W23" s="2" t="s">
        <v>174</v>
      </c>
      <c r="X23" s="2" t="s">
        <v>175</v>
      </c>
      <c r="Y23" s="2" t="s">
        <v>44</v>
      </c>
      <c r="Z23" s="2"/>
      <c r="AA23" s="2"/>
      <c r="AB23" s="2" t="s">
        <v>45</v>
      </c>
      <c r="AC23" s="2"/>
    </row>
    <row r="24" spans="1:29" x14ac:dyDescent="0.35">
      <c r="A24" s="1" t="s">
        <v>27</v>
      </c>
      <c r="B24" s="1" t="s">
        <v>28</v>
      </c>
      <c r="C24" s="1" t="s">
        <v>29</v>
      </c>
      <c r="D24" s="1" t="s">
        <v>30</v>
      </c>
      <c r="E24" s="1" t="s">
        <v>31</v>
      </c>
      <c r="F24" s="1" t="s">
        <v>52</v>
      </c>
      <c r="G24" s="1" t="s">
        <v>33</v>
      </c>
      <c r="H24" s="1" t="s">
        <v>33</v>
      </c>
      <c r="I24" s="1" t="s">
        <v>86</v>
      </c>
      <c r="J24" s="1" t="s">
        <v>163</v>
      </c>
      <c r="K24" s="1" t="s">
        <v>176</v>
      </c>
      <c r="L24" s="1" t="s">
        <v>165</v>
      </c>
      <c r="M24" t="s">
        <v>166</v>
      </c>
      <c r="N24" t="s">
        <v>52</v>
      </c>
      <c r="O24" t="s">
        <v>166</v>
      </c>
      <c r="P24" t="s">
        <v>167</v>
      </c>
      <c r="Q24" s="1"/>
      <c r="R24" s="1"/>
      <c r="S24" s="1"/>
      <c r="T24" s="1"/>
      <c r="U24" s="1" t="s">
        <v>40</v>
      </c>
      <c r="V24" s="1" t="s">
        <v>41</v>
      </c>
      <c r="W24" s="1" t="s">
        <v>179</v>
      </c>
      <c r="X24" s="1" t="s">
        <v>180</v>
      </c>
      <c r="Y24" s="1" t="s">
        <v>44</v>
      </c>
      <c r="Z24" s="1"/>
      <c r="AA24" s="1"/>
      <c r="AB24" s="1" t="s">
        <v>45</v>
      </c>
      <c r="AC24" s="1"/>
    </row>
    <row r="25" spans="1:29" x14ac:dyDescent="0.35">
      <c r="A25" s="2" t="s">
        <v>27</v>
      </c>
      <c r="B25" s="2" t="s">
        <v>28</v>
      </c>
      <c r="C25" s="2" t="s">
        <v>29</v>
      </c>
      <c r="D25" s="2" t="s">
        <v>30</v>
      </c>
      <c r="E25" s="2" t="s">
        <v>31</v>
      </c>
      <c r="F25" s="2" t="s">
        <v>52</v>
      </c>
      <c r="G25" s="2" t="s">
        <v>53</v>
      </c>
      <c r="H25" s="2" t="s">
        <v>54</v>
      </c>
      <c r="I25" s="2" t="s">
        <v>86</v>
      </c>
      <c r="J25" s="2" t="s">
        <v>163</v>
      </c>
      <c r="K25" s="2" t="s">
        <v>181</v>
      </c>
      <c r="L25" s="2" t="s">
        <v>165</v>
      </c>
      <c r="M25" t="s">
        <v>172</v>
      </c>
      <c r="N25" t="s">
        <v>52</v>
      </c>
      <c r="O25" t="s">
        <v>172</v>
      </c>
      <c r="P25" t="s">
        <v>173</v>
      </c>
      <c r="Q25" s="2" t="s">
        <v>61</v>
      </c>
      <c r="R25" s="2" t="s">
        <v>184</v>
      </c>
      <c r="S25" s="2" t="s">
        <v>63</v>
      </c>
      <c r="T25" s="2" t="s">
        <v>63</v>
      </c>
      <c r="U25" s="2" t="s">
        <v>40</v>
      </c>
      <c r="V25" s="2" t="s">
        <v>41</v>
      </c>
      <c r="W25" s="2" t="s">
        <v>185</v>
      </c>
      <c r="X25" s="2" t="s">
        <v>186</v>
      </c>
      <c r="Y25" s="2" t="s">
        <v>44</v>
      </c>
      <c r="Z25" s="2" t="b">
        <v>1</v>
      </c>
      <c r="AA25" s="2"/>
      <c r="AB25" s="2" t="s">
        <v>45</v>
      </c>
      <c r="AC25" s="2"/>
    </row>
    <row r="26" spans="1:29" x14ac:dyDescent="0.35">
      <c r="A26" s="1" t="s">
        <v>27</v>
      </c>
      <c r="B26" s="1" t="s">
        <v>28</v>
      </c>
      <c r="C26" s="1" t="s">
        <v>29</v>
      </c>
      <c r="D26" s="1" t="s">
        <v>30</v>
      </c>
      <c r="E26" s="1" t="s">
        <v>31</v>
      </c>
      <c r="F26" s="1" t="s">
        <v>52</v>
      </c>
      <c r="G26" s="1" t="s">
        <v>53</v>
      </c>
      <c r="H26" s="1" t="s">
        <v>54</v>
      </c>
      <c r="I26" s="1" t="s">
        <v>86</v>
      </c>
      <c r="J26" s="1" t="s">
        <v>163</v>
      </c>
      <c r="K26" s="1" t="s">
        <v>181</v>
      </c>
      <c r="L26" s="1" t="s">
        <v>165</v>
      </c>
      <c r="M26" t="s">
        <v>177</v>
      </c>
      <c r="N26" t="s">
        <v>52</v>
      </c>
      <c r="O26" t="s">
        <v>177</v>
      </c>
      <c r="P26" t="s">
        <v>178</v>
      </c>
      <c r="Q26" s="1" t="s">
        <v>61</v>
      </c>
      <c r="R26" s="1" t="s">
        <v>184</v>
      </c>
      <c r="S26" s="1" t="s">
        <v>63</v>
      </c>
      <c r="T26" s="1" t="s">
        <v>63</v>
      </c>
      <c r="U26" s="1" t="s">
        <v>40</v>
      </c>
      <c r="V26" s="1" t="s">
        <v>41</v>
      </c>
      <c r="W26" s="1" t="s">
        <v>189</v>
      </c>
      <c r="X26" s="1" t="s">
        <v>190</v>
      </c>
      <c r="Y26" s="1" t="s">
        <v>44</v>
      </c>
      <c r="Z26" s="1" t="b">
        <v>1</v>
      </c>
      <c r="AA26" s="1"/>
      <c r="AB26" s="1" t="s">
        <v>45</v>
      </c>
      <c r="AC26" s="1"/>
    </row>
    <row r="27" spans="1:29" x14ac:dyDescent="0.35">
      <c r="A27" s="2" t="s">
        <v>27</v>
      </c>
      <c r="B27" s="2" t="s">
        <v>28</v>
      </c>
      <c r="C27" s="2" t="s">
        <v>29</v>
      </c>
      <c r="D27" s="2" t="s">
        <v>30</v>
      </c>
      <c r="E27" s="2" t="s">
        <v>31</v>
      </c>
      <c r="F27" s="2" t="s">
        <v>52</v>
      </c>
      <c r="G27" s="2" t="s">
        <v>53</v>
      </c>
      <c r="H27" s="2" t="s">
        <v>54</v>
      </c>
      <c r="I27" s="2" t="s">
        <v>86</v>
      </c>
      <c r="J27" s="2" t="s">
        <v>191</v>
      </c>
      <c r="K27" s="2" t="s">
        <v>192</v>
      </c>
      <c r="L27" s="2" t="s">
        <v>193</v>
      </c>
      <c r="M27" t="s">
        <v>182</v>
      </c>
      <c r="N27" t="s">
        <v>52</v>
      </c>
      <c r="O27" t="s">
        <v>182</v>
      </c>
      <c r="P27" t="s">
        <v>183</v>
      </c>
      <c r="Q27" s="2" t="s">
        <v>61</v>
      </c>
      <c r="R27" s="2" t="s">
        <v>62</v>
      </c>
      <c r="S27" s="2" t="s">
        <v>63</v>
      </c>
      <c r="T27" s="2" t="s">
        <v>63</v>
      </c>
      <c r="U27" s="2" t="s">
        <v>40</v>
      </c>
      <c r="V27" s="2" t="s">
        <v>41</v>
      </c>
      <c r="W27" s="2" t="s">
        <v>196</v>
      </c>
      <c r="X27" s="2" t="s">
        <v>197</v>
      </c>
      <c r="Y27" s="2" t="s">
        <v>44</v>
      </c>
      <c r="Z27" s="2" t="b">
        <v>1</v>
      </c>
      <c r="AA27" s="2"/>
      <c r="AB27" s="2" t="s">
        <v>45</v>
      </c>
      <c r="AC27" s="2"/>
    </row>
    <row r="28" spans="1:29" x14ac:dyDescent="0.35">
      <c r="A28" s="1" t="s">
        <v>27</v>
      </c>
      <c r="B28" s="1" t="s">
        <v>28</v>
      </c>
      <c r="C28" s="1" t="s">
        <v>29</v>
      </c>
      <c r="D28" s="1" t="s">
        <v>30</v>
      </c>
      <c r="E28" s="1" t="s">
        <v>31</v>
      </c>
      <c r="F28" s="1" t="s">
        <v>52</v>
      </c>
      <c r="G28" s="1" t="s">
        <v>53</v>
      </c>
      <c r="H28" s="1" t="s">
        <v>54</v>
      </c>
      <c r="I28" s="1" t="s">
        <v>86</v>
      </c>
      <c r="J28" s="1" t="s">
        <v>191</v>
      </c>
      <c r="K28" s="1" t="s">
        <v>198</v>
      </c>
      <c r="L28" s="1" t="s">
        <v>199</v>
      </c>
      <c r="M28" t="s">
        <v>187</v>
      </c>
      <c r="N28" t="s">
        <v>52</v>
      </c>
      <c r="O28" t="s">
        <v>187</v>
      </c>
      <c r="P28" t="s">
        <v>188</v>
      </c>
      <c r="Q28" s="1" t="s">
        <v>61</v>
      </c>
      <c r="R28" s="1" t="s">
        <v>202</v>
      </c>
      <c r="S28" s="1" t="s">
        <v>63</v>
      </c>
      <c r="T28" s="1" t="s">
        <v>63</v>
      </c>
      <c r="U28" s="1" t="s">
        <v>40</v>
      </c>
      <c r="V28" s="1" t="s">
        <v>41</v>
      </c>
      <c r="W28" s="1" t="s">
        <v>203</v>
      </c>
      <c r="X28" s="1" t="s">
        <v>204</v>
      </c>
      <c r="Y28" s="1" t="s">
        <v>44</v>
      </c>
      <c r="Z28" s="1" t="b">
        <v>1</v>
      </c>
      <c r="AA28" s="1"/>
      <c r="AB28" s="1" t="s">
        <v>45</v>
      </c>
      <c r="AC28" s="1"/>
    </row>
    <row r="29" spans="1:29" x14ac:dyDescent="0.35">
      <c r="A29" s="2" t="s">
        <v>27</v>
      </c>
      <c r="B29" s="2" t="s">
        <v>28</v>
      </c>
      <c r="C29" s="2" t="s">
        <v>29</v>
      </c>
      <c r="D29" s="2" t="s">
        <v>30</v>
      </c>
      <c r="E29" s="2" t="s">
        <v>31</v>
      </c>
      <c r="F29" s="2" t="s">
        <v>52</v>
      </c>
      <c r="G29" s="2" t="s">
        <v>53</v>
      </c>
      <c r="H29" s="2" t="s">
        <v>54</v>
      </c>
      <c r="I29" s="2" t="s">
        <v>86</v>
      </c>
      <c r="J29" s="2" t="s">
        <v>191</v>
      </c>
      <c r="K29" s="2" t="s">
        <v>205</v>
      </c>
      <c r="L29" s="2" t="s">
        <v>206</v>
      </c>
      <c r="M29" t="s">
        <v>194</v>
      </c>
      <c r="N29" t="s">
        <v>52</v>
      </c>
      <c r="O29" t="s">
        <v>194</v>
      </c>
      <c r="P29" t="s">
        <v>195</v>
      </c>
      <c r="Q29" s="2" t="s">
        <v>61</v>
      </c>
      <c r="R29" s="2" t="s">
        <v>209</v>
      </c>
      <c r="S29" s="2" t="s">
        <v>63</v>
      </c>
      <c r="T29" s="2" t="s">
        <v>63</v>
      </c>
      <c r="U29" s="2" t="s">
        <v>40</v>
      </c>
      <c r="V29" s="2" t="s">
        <v>41</v>
      </c>
      <c r="W29" s="2" t="s">
        <v>210</v>
      </c>
      <c r="X29" s="2" t="s">
        <v>211</v>
      </c>
      <c r="Y29" s="2" t="s">
        <v>44</v>
      </c>
      <c r="Z29" s="2" t="b">
        <v>1</v>
      </c>
      <c r="AA29" s="2"/>
      <c r="AB29" s="2" t="s">
        <v>45</v>
      </c>
      <c r="AC29" s="2"/>
    </row>
    <row r="30" spans="1:29" x14ac:dyDescent="0.35">
      <c r="A30" s="1" t="s">
        <v>27</v>
      </c>
      <c r="B30" s="1" t="s">
        <v>28</v>
      </c>
      <c r="C30" s="1" t="s">
        <v>29</v>
      </c>
      <c r="D30" s="1" t="s">
        <v>30</v>
      </c>
      <c r="E30" s="1" t="s">
        <v>31</v>
      </c>
      <c r="F30" s="1" t="s">
        <v>52</v>
      </c>
      <c r="G30" s="1" t="s">
        <v>53</v>
      </c>
      <c r="H30" s="1" t="s">
        <v>54</v>
      </c>
      <c r="I30" s="1" t="s">
        <v>55</v>
      </c>
      <c r="J30" s="1" t="s">
        <v>212</v>
      </c>
      <c r="K30" s="1" t="s">
        <v>213</v>
      </c>
      <c r="L30" s="1" t="s">
        <v>214</v>
      </c>
      <c r="M30" t="s">
        <v>200</v>
      </c>
      <c r="N30" t="s">
        <v>52</v>
      </c>
      <c r="O30" t="s">
        <v>200</v>
      </c>
      <c r="P30" t="s">
        <v>201</v>
      </c>
      <c r="Q30" s="1" t="s">
        <v>217</v>
      </c>
      <c r="R30" s="1" t="s">
        <v>62</v>
      </c>
      <c r="S30" s="1" t="s">
        <v>63</v>
      </c>
      <c r="T30" s="1" t="s">
        <v>63</v>
      </c>
      <c r="U30" s="1" t="s">
        <v>40</v>
      </c>
      <c r="V30" s="1" t="s">
        <v>41</v>
      </c>
      <c r="W30" s="1" t="s">
        <v>218</v>
      </c>
      <c r="X30" s="1" t="s">
        <v>219</v>
      </c>
      <c r="Y30" s="1" t="s">
        <v>44</v>
      </c>
      <c r="Z30" s="1" t="b">
        <v>1</v>
      </c>
      <c r="AA30" s="1"/>
      <c r="AB30" s="1" t="s">
        <v>45</v>
      </c>
      <c r="AC30" s="1"/>
    </row>
    <row r="31" spans="1:29" x14ac:dyDescent="0.35">
      <c r="A31" s="2" t="s">
        <v>27</v>
      </c>
      <c r="B31" s="2" t="s">
        <v>28</v>
      </c>
      <c r="C31" s="2" t="s">
        <v>29</v>
      </c>
      <c r="D31" s="2" t="s">
        <v>30</v>
      </c>
      <c r="E31" s="2" t="s">
        <v>31</v>
      </c>
      <c r="F31" s="2" t="s">
        <v>52</v>
      </c>
      <c r="G31" s="2" t="s">
        <v>53</v>
      </c>
      <c r="H31" s="2" t="s">
        <v>54</v>
      </c>
      <c r="I31" s="2" t="s">
        <v>86</v>
      </c>
      <c r="J31" s="2" t="s">
        <v>212</v>
      </c>
      <c r="K31" s="2" t="s">
        <v>220</v>
      </c>
      <c r="L31" s="2" t="s">
        <v>214</v>
      </c>
      <c r="M31" t="s">
        <v>207</v>
      </c>
      <c r="N31" t="s">
        <v>52</v>
      </c>
      <c r="O31" t="s">
        <v>207</v>
      </c>
      <c r="P31" t="s">
        <v>208</v>
      </c>
      <c r="Q31" s="2" t="s">
        <v>61</v>
      </c>
      <c r="R31" s="2" t="s">
        <v>223</v>
      </c>
      <c r="S31" s="2" t="s">
        <v>63</v>
      </c>
      <c r="T31" s="2" t="s">
        <v>63</v>
      </c>
      <c r="U31" s="2" t="s">
        <v>40</v>
      </c>
      <c r="V31" s="2" t="s">
        <v>41</v>
      </c>
      <c r="W31" s="2" t="s">
        <v>224</v>
      </c>
      <c r="X31" s="2" t="s">
        <v>225</v>
      </c>
      <c r="Y31" s="2" t="s">
        <v>44</v>
      </c>
      <c r="Z31" s="2" t="b">
        <v>1</v>
      </c>
      <c r="AA31" s="2"/>
      <c r="AB31" s="2" t="s">
        <v>45</v>
      </c>
      <c r="AC31" s="2"/>
    </row>
    <row r="32" spans="1:29" x14ac:dyDescent="0.35">
      <c r="A32" s="1" t="s">
        <v>27</v>
      </c>
      <c r="B32" s="1" t="s">
        <v>28</v>
      </c>
      <c r="C32" s="1" t="s">
        <v>29</v>
      </c>
      <c r="D32" s="1" t="s">
        <v>30</v>
      </c>
      <c r="E32" s="1" t="s">
        <v>31</v>
      </c>
      <c r="F32" s="1" t="s">
        <v>52</v>
      </c>
      <c r="G32" s="1" t="s">
        <v>53</v>
      </c>
      <c r="H32" s="1" t="s">
        <v>54</v>
      </c>
      <c r="I32" s="1" t="s">
        <v>86</v>
      </c>
      <c r="J32" s="1" t="s">
        <v>212</v>
      </c>
      <c r="K32" s="1" t="s">
        <v>226</v>
      </c>
      <c r="L32" s="1" t="s">
        <v>214</v>
      </c>
      <c r="M32" t="s">
        <v>215</v>
      </c>
      <c r="N32" t="s">
        <v>52</v>
      </c>
      <c r="O32" t="s">
        <v>215</v>
      </c>
      <c r="P32" t="s">
        <v>216</v>
      </c>
      <c r="Q32" s="1" t="s">
        <v>217</v>
      </c>
      <c r="R32" s="1" t="s">
        <v>62</v>
      </c>
      <c r="S32" s="1" t="s">
        <v>63</v>
      </c>
      <c r="T32" s="1" t="s">
        <v>63</v>
      </c>
      <c r="U32" s="1" t="s">
        <v>40</v>
      </c>
      <c r="V32" s="1" t="s">
        <v>41</v>
      </c>
      <c r="W32" s="1" t="s">
        <v>229</v>
      </c>
      <c r="X32" s="1" t="s">
        <v>230</v>
      </c>
      <c r="Y32" s="1" t="s">
        <v>44</v>
      </c>
      <c r="Z32" s="1" t="b">
        <v>1</v>
      </c>
      <c r="AA32" s="1"/>
      <c r="AB32" s="1" t="s">
        <v>45</v>
      </c>
      <c r="AC32" s="1"/>
    </row>
    <row r="33" spans="1:29" x14ac:dyDescent="0.35">
      <c r="A33" s="2" t="s">
        <v>27</v>
      </c>
      <c r="B33" s="2" t="s">
        <v>28</v>
      </c>
      <c r="C33" s="2" t="s">
        <v>29</v>
      </c>
      <c r="D33" s="2" t="s">
        <v>30</v>
      </c>
      <c r="E33" s="2" t="s">
        <v>31</v>
      </c>
      <c r="F33" s="2" t="s">
        <v>52</v>
      </c>
      <c r="G33" s="2" t="s">
        <v>53</v>
      </c>
      <c r="H33" s="2" t="s">
        <v>54</v>
      </c>
      <c r="I33" s="2" t="s">
        <v>86</v>
      </c>
      <c r="J33" s="2" t="s">
        <v>212</v>
      </c>
      <c r="K33" s="2" t="s">
        <v>231</v>
      </c>
      <c r="L33" s="2" t="s">
        <v>232</v>
      </c>
      <c r="M33" t="s">
        <v>221</v>
      </c>
      <c r="N33" t="s">
        <v>52</v>
      </c>
      <c r="O33" t="s">
        <v>221</v>
      </c>
      <c r="P33" t="s">
        <v>222</v>
      </c>
      <c r="Q33" s="2" t="s">
        <v>61</v>
      </c>
      <c r="R33" s="2" t="s">
        <v>235</v>
      </c>
      <c r="S33" s="2" t="s">
        <v>63</v>
      </c>
      <c r="T33" s="2" t="s">
        <v>63</v>
      </c>
      <c r="U33" s="2" t="s">
        <v>40</v>
      </c>
      <c r="V33" s="2" t="s">
        <v>41</v>
      </c>
      <c r="W33" s="2" t="s">
        <v>236</v>
      </c>
      <c r="X33" s="2" t="s">
        <v>237</v>
      </c>
      <c r="Y33" s="2" t="s">
        <v>44</v>
      </c>
      <c r="Z33" s="2" t="b">
        <v>1</v>
      </c>
      <c r="AA33" s="2"/>
      <c r="AB33" s="2" t="s">
        <v>45</v>
      </c>
      <c r="AC33" s="2"/>
    </row>
    <row r="34" spans="1:29" x14ac:dyDescent="0.35">
      <c r="A34" s="1" t="s">
        <v>27</v>
      </c>
      <c r="B34" s="1" t="s">
        <v>28</v>
      </c>
      <c r="C34" s="1" t="s">
        <v>29</v>
      </c>
      <c r="D34" s="1" t="s">
        <v>30</v>
      </c>
      <c r="E34" s="1" t="s">
        <v>31</v>
      </c>
      <c r="F34" s="1" t="s">
        <v>52</v>
      </c>
      <c r="G34" s="1" t="s">
        <v>53</v>
      </c>
      <c r="H34" s="1" t="s">
        <v>54</v>
      </c>
      <c r="I34" s="1" t="s">
        <v>86</v>
      </c>
      <c r="J34" s="1" t="s">
        <v>212</v>
      </c>
      <c r="K34" s="1" t="s">
        <v>238</v>
      </c>
      <c r="L34" s="1" t="s">
        <v>232</v>
      </c>
      <c r="M34" t="s">
        <v>227</v>
      </c>
      <c r="N34" t="s">
        <v>52</v>
      </c>
      <c r="O34" t="s">
        <v>227</v>
      </c>
      <c r="P34" t="s">
        <v>228</v>
      </c>
      <c r="Q34" s="1" t="s">
        <v>61</v>
      </c>
      <c r="R34" s="1" t="s">
        <v>235</v>
      </c>
      <c r="S34" s="1" t="s">
        <v>63</v>
      </c>
      <c r="T34" s="1" t="s">
        <v>63</v>
      </c>
      <c r="U34" s="1" t="s">
        <v>40</v>
      </c>
      <c r="V34" s="1" t="s">
        <v>41</v>
      </c>
      <c r="W34" s="1" t="s">
        <v>241</v>
      </c>
      <c r="X34" s="1" t="s">
        <v>242</v>
      </c>
      <c r="Y34" s="1" t="s">
        <v>44</v>
      </c>
      <c r="Z34" s="1" t="b">
        <v>1</v>
      </c>
      <c r="AA34" s="1"/>
      <c r="AB34" s="1" t="s">
        <v>45</v>
      </c>
      <c r="AC34" s="1"/>
    </row>
    <row r="35" spans="1:29" x14ac:dyDescent="0.35">
      <c r="A35" s="2" t="s">
        <v>27</v>
      </c>
      <c r="B35" s="2" t="s">
        <v>28</v>
      </c>
      <c r="C35" s="2" t="s">
        <v>29</v>
      </c>
      <c r="D35" s="2" t="s">
        <v>30</v>
      </c>
      <c r="E35" s="2" t="s">
        <v>31</v>
      </c>
      <c r="F35" s="2" t="s">
        <v>52</v>
      </c>
      <c r="G35" s="2" t="s">
        <v>53</v>
      </c>
      <c r="H35" s="2" t="s">
        <v>54</v>
      </c>
      <c r="I35" s="2" t="s">
        <v>86</v>
      </c>
      <c r="J35" s="2" t="s">
        <v>212</v>
      </c>
      <c r="K35" s="2" t="s">
        <v>243</v>
      </c>
      <c r="L35" s="2" t="s">
        <v>244</v>
      </c>
      <c r="M35" t="s">
        <v>233</v>
      </c>
      <c r="N35" t="s">
        <v>52</v>
      </c>
      <c r="O35" t="s">
        <v>233</v>
      </c>
      <c r="P35" t="s">
        <v>234</v>
      </c>
      <c r="Q35" s="2" t="s">
        <v>247</v>
      </c>
      <c r="R35" s="2" t="s">
        <v>248</v>
      </c>
      <c r="S35" s="2" t="s">
        <v>63</v>
      </c>
      <c r="T35" s="2" t="s">
        <v>63</v>
      </c>
      <c r="U35" s="2" t="s">
        <v>40</v>
      </c>
      <c r="V35" s="2" t="s">
        <v>41</v>
      </c>
      <c r="W35" s="2" t="s">
        <v>249</v>
      </c>
      <c r="X35" s="2" t="s">
        <v>250</v>
      </c>
      <c r="Y35" s="2" t="s">
        <v>44</v>
      </c>
      <c r="Z35" s="2" t="b">
        <v>1</v>
      </c>
      <c r="AA35" s="2"/>
      <c r="AB35" s="2" t="s">
        <v>45</v>
      </c>
      <c r="AC35" s="2"/>
    </row>
    <row r="36" spans="1:29" x14ac:dyDescent="0.35">
      <c r="A36" s="1" t="s">
        <v>27</v>
      </c>
      <c r="B36" s="1" t="s">
        <v>28</v>
      </c>
      <c r="C36" s="1" t="s">
        <v>29</v>
      </c>
      <c r="D36" s="1" t="s">
        <v>30</v>
      </c>
      <c r="E36" s="1" t="s">
        <v>31</v>
      </c>
      <c r="F36" s="1" t="s">
        <v>52</v>
      </c>
      <c r="G36" s="1" t="s">
        <v>53</v>
      </c>
      <c r="H36" s="1" t="s">
        <v>54</v>
      </c>
      <c r="I36" s="1" t="s">
        <v>86</v>
      </c>
      <c r="J36" s="1" t="s">
        <v>212</v>
      </c>
      <c r="K36" s="1" t="s">
        <v>251</v>
      </c>
      <c r="L36" s="1" t="s">
        <v>244</v>
      </c>
      <c r="M36" t="s">
        <v>239</v>
      </c>
      <c r="N36" t="s">
        <v>52</v>
      </c>
      <c r="O36" t="s">
        <v>239</v>
      </c>
      <c r="P36" t="s">
        <v>240</v>
      </c>
      <c r="Q36" s="1" t="s">
        <v>61</v>
      </c>
      <c r="R36" s="1" t="s">
        <v>62</v>
      </c>
      <c r="S36" s="1" t="s">
        <v>63</v>
      </c>
      <c r="T36" s="1" t="s">
        <v>63</v>
      </c>
      <c r="U36" s="1" t="s">
        <v>40</v>
      </c>
      <c r="V36" s="1" t="s">
        <v>41</v>
      </c>
      <c r="W36" s="1" t="s">
        <v>254</v>
      </c>
      <c r="X36" s="1" t="s">
        <v>255</v>
      </c>
      <c r="Y36" s="1" t="s">
        <v>44</v>
      </c>
      <c r="Z36" s="1" t="b">
        <v>1</v>
      </c>
      <c r="AA36" s="1"/>
      <c r="AB36" s="1" t="s">
        <v>45</v>
      </c>
      <c r="AC36" s="1"/>
    </row>
    <row r="37" spans="1:29" x14ac:dyDescent="0.35">
      <c r="A37" s="2" t="s">
        <v>27</v>
      </c>
      <c r="B37" s="2" t="s">
        <v>28</v>
      </c>
      <c r="C37" s="2" t="s">
        <v>29</v>
      </c>
      <c r="D37" s="2" t="s">
        <v>30</v>
      </c>
      <c r="E37" s="2" t="s">
        <v>31</v>
      </c>
      <c r="F37" s="2" t="s">
        <v>52</v>
      </c>
      <c r="G37" s="2" t="s">
        <v>53</v>
      </c>
      <c r="H37" s="2" t="s">
        <v>54</v>
      </c>
      <c r="I37" s="2" t="s">
        <v>86</v>
      </c>
      <c r="J37" s="2" t="s">
        <v>212</v>
      </c>
      <c r="K37" s="2" t="s">
        <v>256</v>
      </c>
      <c r="L37" s="2" t="s">
        <v>244</v>
      </c>
      <c r="M37" t="s">
        <v>245</v>
      </c>
      <c r="N37" t="s">
        <v>52</v>
      </c>
      <c r="O37" t="s">
        <v>245</v>
      </c>
      <c r="P37" t="s">
        <v>246</v>
      </c>
      <c r="Q37" s="2" t="s">
        <v>217</v>
      </c>
      <c r="R37" s="2" t="s">
        <v>61</v>
      </c>
      <c r="S37" s="2" t="s">
        <v>63</v>
      </c>
      <c r="T37" s="2" t="s">
        <v>63</v>
      </c>
      <c r="U37" s="2" t="s">
        <v>40</v>
      </c>
      <c r="V37" s="2" t="s">
        <v>41</v>
      </c>
      <c r="W37" s="2" t="s">
        <v>259</v>
      </c>
      <c r="X37" s="2" t="s">
        <v>260</v>
      </c>
      <c r="Y37" s="2" t="s">
        <v>44</v>
      </c>
      <c r="Z37" s="2" t="b">
        <v>1</v>
      </c>
      <c r="AA37" s="2"/>
      <c r="AB37" s="2" t="s">
        <v>45</v>
      </c>
      <c r="AC37" s="2"/>
    </row>
    <row r="38" spans="1:29" x14ac:dyDescent="0.35">
      <c r="A38" s="1" t="s">
        <v>27</v>
      </c>
      <c r="B38" s="1" t="s">
        <v>28</v>
      </c>
      <c r="C38" s="1" t="s">
        <v>29</v>
      </c>
      <c r="D38" s="1" t="s">
        <v>30</v>
      </c>
      <c r="E38" s="1" t="s">
        <v>31</v>
      </c>
      <c r="F38" s="1" t="s">
        <v>52</v>
      </c>
      <c r="G38" s="1" t="s">
        <v>53</v>
      </c>
      <c r="H38" s="1" t="s">
        <v>54</v>
      </c>
      <c r="I38" s="1" t="s">
        <v>86</v>
      </c>
      <c r="J38" s="1" t="s">
        <v>212</v>
      </c>
      <c r="K38" s="1" t="s">
        <v>261</v>
      </c>
      <c r="L38" s="1" t="s">
        <v>244</v>
      </c>
      <c r="M38" t="s">
        <v>252</v>
      </c>
      <c r="N38" t="s">
        <v>52</v>
      </c>
      <c r="O38" t="s">
        <v>252</v>
      </c>
      <c r="P38" t="s">
        <v>253</v>
      </c>
      <c r="Q38" s="1" t="s">
        <v>264</v>
      </c>
      <c r="R38" s="1" t="s">
        <v>61</v>
      </c>
      <c r="S38" s="1" t="s">
        <v>63</v>
      </c>
      <c r="T38" s="1" t="s">
        <v>63</v>
      </c>
      <c r="U38" s="1" t="s">
        <v>40</v>
      </c>
      <c r="V38" s="1" t="s">
        <v>41</v>
      </c>
      <c r="W38" s="1" t="s">
        <v>265</v>
      </c>
      <c r="X38" s="1" t="s">
        <v>266</v>
      </c>
      <c r="Y38" s="1" t="s">
        <v>44</v>
      </c>
      <c r="Z38" s="1" t="b">
        <v>1</v>
      </c>
      <c r="AA38" s="1"/>
      <c r="AB38" s="1" t="s">
        <v>45</v>
      </c>
      <c r="AC38" s="1"/>
    </row>
    <row r="39" spans="1:29" x14ac:dyDescent="0.35">
      <c r="A39" s="2" t="s">
        <v>27</v>
      </c>
      <c r="B39" s="2" t="s">
        <v>28</v>
      </c>
      <c r="C39" s="2" t="s">
        <v>29</v>
      </c>
      <c r="D39" s="2" t="s">
        <v>30</v>
      </c>
      <c r="E39" s="2" t="s">
        <v>31</v>
      </c>
      <c r="F39" s="2" t="s">
        <v>52</v>
      </c>
      <c r="G39" s="2" t="s">
        <v>53</v>
      </c>
      <c r="H39" s="2" t="s">
        <v>54</v>
      </c>
      <c r="I39" s="2" t="s">
        <v>86</v>
      </c>
      <c r="J39" s="2" t="s">
        <v>212</v>
      </c>
      <c r="K39" s="2" t="s">
        <v>267</v>
      </c>
      <c r="L39" s="2" t="s">
        <v>244</v>
      </c>
      <c r="M39" t="s">
        <v>257</v>
      </c>
      <c r="N39" t="s">
        <v>52</v>
      </c>
      <c r="O39" t="s">
        <v>257</v>
      </c>
      <c r="P39" t="s">
        <v>258</v>
      </c>
      <c r="Q39" s="2" t="s">
        <v>264</v>
      </c>
      <c r="R39" s="2" t="s">
        <v>61</v>
      </c>
      <c r="S39" s="2" t="s">
        <v>63</v>
      </c>
      <c r="T39" s="2" t="s">
        <v>63</v>
      </c>
      <c r="U39" s="2" t="s">
        <v>40</v>
      </c>
      <c r="V39" s="2" t="s">
        <v>41</v>
      </c>
      <c r="W39" s="2" t="s">
        <v>270</v>
      </c>
      <c r="X39" s="2" t="s">
        <v>271</v>
      </c>
      <c r="Y39" s="2" t="s">
        <v>44</v>
      </c>
      <c r="Z39" s="2" t="b">
        <v>1</v>
      </c>
      <c r="AA39" s="2"/>
      <c r="AB39" s="2" t="s">
        <v>45</v>
      </c>
      <c r="AC39" s="2"/>
    </row>
    <row r="40" spans="1:29" x14ac:dyDescent="0.35">
      <c r="A40" s="1" t="s">
        <v>27</v>
      </c>
      <c r="B40" s="1" t="s">
        <v>28</v>
      </c>
      <c r="C40" s="1" t="s">
        <v>29</v>
      </c>
      <c r="D40" s="1" t="s">
        <v>30</v>
      </c>
      <c r="E40" s="1" t="s">
        <v>31</v>
      </c>
      <c r="F40" s="1" t="s">
        <v>52</v>
      </c>
      <c r="G40" s="1" t="s">
        <v>53</v>
      </c>
      <c r="H40" s="1" t="s">
        <v>54</v>
      </c>
      <c r="I40" s="1" t="s">
        <v>55</v>
      </c>
      <c r="J40" s="1" t="s">
        <v>272</v>
      </c>
      <c r="K40" s="1" t="s">
        <v>273</v>
      </c>
      <c r="L40" s="1" t="s">
        <v>274</v>
      </c>
      <c r="M40" t="s">
        <v>262</v>
      </c>
      <c r="N40" t="s">
        <v>52</v>
      </c>
      <c r="O40" t="s">
        <v>262</v>
      </c>
      <c r="P40" t="s">
        <v>263</v>
      </c>
      <c r="Q40" s="1" t="s">
        <v>61</v>
      </c>
      <c r="R40" s="1" t="s">
        <v>277</v>
      </c>
      <c r="S40" s="1" t="s">
        <v>63</v>
      </c>
      <c r="T40" s="1" t="s">
        <v>63</v>
      </c>
      <c r="U40" s="1" t="s">
        <v>40</v>
      </c>
      <c r="V40" s="1" t="s">
        <v>41</v>
      </c>
      <c r="W40" s="1" t="s">
        <v>278</v>
      </c>
      <c r="X40" s="1" t="s">
        <v>279</v>
      </c>
      <c r="Y40" s="1" t="s">
        <v>44</v>
      </c>
      <c r="Z40" s="1" t="b">
        <v>1</v>
      </c>
      <c r="AA40" s="1"/>
      <c r="AB40" s="1" t="s">
        <v>45</v>
      </c>
      <c r="AC40" s="1"/>
    </row>
    <row r="41" spans="1:29" x14ac:dyDescent="0.35">
      <c r="A41" s="2" t="s">
        <v>27</v>
      </c>
      <c r="B41" s="2" t="s">
        <v>28</v>
      </c>
      <c r="C41" s="2" t="s">
        <v>29</v>
      </c>
      <c r="D41" s="2" t="s">
        <v>30</v>
      </c>
      <c r="E41" s="2" t="s">
        <v>31</v>
      </c>
      <c r="F41" s="2" t="s">
        <v>52</v>
      </c>
      <c r="G41" s="2" t="s">
        <v>53</v>
      </c>
      <c r="H41" s="2" t="s">
        <v>54</v>
      </c>
      <c r="I41" s="2" t="s">
        <v>86</v>
      </c>
      <c r="J41" s="2" t="s">
        <v>272</v>
      </c>
      <c r="K41" s="2" t="s">
        <v>280</v>
      </c>
      <c r="L41" s="2" t="s">
        <v>274</v>
      </c>
      <c r="M41" t="s">
        <v>268</v>
      </c>
      <c r="N41" t="s">
        <v>52</v>
      </c>
      <c r="O41" t="s">
        <v>268</v>
      </c>
      <c r="P41" t="s">
        <v>269</v>
      </c>
      <c r="Q41" s="2" t="s">
        <v>61</v>
      </c>
      <c r="R41" s="2" t="s">
        <v>283</v>
      </c>
      <c r="S41" s="2" t="s">
        <v>63</v>
      </c>
      <c r="T41" s="2" t="s">
        <v>63</v>
      </c>
      <c r="U41" s="2" t="s">
        <v>40</v>
      </c>
      <c r="V41" s="2" t="s">
        <v>41</v>
      </c>
      <c r="W41" s="2" t="s">
        <v>284</v>
      </c>
      <c r="X41" s="2" t="s">
        <v>285</v>
      </c>
      <c r="Y41" s="2" t="s">
        <v>44</v>
      </c>
      <c r="Z41" s="2" t="b">
        <v>1</v>
      </c>
      <c r="AA41" s="2"/>
      <c r="AB41" s="2" t="s">
        <v>45</v>
      </c>
      <c r="AC41" s="2"/>
    </row>
    <row r="42" spans="1:29" x14ac:dyDescent="0.35">
      <c r="A42" s="1" t="s">
        <v>27</v>
      </c>
      <c r="B42" s="1" t="s">
        <v>28</v>
      </c>
      <c r="C42" s="1" t="s">
        <v>29</v>
      </c>
      <c r="D42" s="1" t="s">
        <v>30</v>
      </c>
      <c r="E42" s="1" t="s">
        <v>31</v>
      </c>
      <c r="F42" s="1" t="s">
        <v>52</v>
      </c>
      <c r="G42" s="1" t="s">
        <v>53</v>
      </c>
      <c r="H42" s="1" t="s">
        <v>54</v>
      </c>
      <c r="I42" s="1" t="s">
        <v>86</v>
      </c>
      <c r="J42" s="1" t="s">
        <v>272</v>
      </c>
      <c r="K42" s="1" t="s">
        <v>286</v>
      </c>
      <c r="L42" s="1" t="s">
        <v>274</v>
      </c>
      <c r="M42" t="s">
        <v>275</v>
      </c>
      <c r="N42" t="s">
        <v>52</v>
      </c>
      <c r="O42" t="s">
        <v>275</v>
      </c>
      <c r="P42" t="s">
        <v>276</v>
      </c>
      <c r="Q42" s="1" t="s">
        <v>61</v>
      </c>
      <c r="R42" s="1" t="s">
        <v>283</v>
      </c>
      <c r="S42" s="1" t="s">
        <v>63</v>
      </c>
      <c r="T42" s="1" t="s">
        <v>63</v>
      </c>
      <c r="U42" s="1" t="s">
        <v>40</v>
      </c>
      <c r="V42" s="1" t="s">
        <v>41</v>
      </c>
      <c r="W42" s="1" t="s">
        <v>289</v>
      </c>
      <c r="X42" s="1" t="s">
        <v>290</v>
      </c>
      <c r="Y42" s="1" t="s">
        <v>44</v>
      </c>
      <c r="Z42" s="1" t="b">
        <v>1</v>
      </c>
      <c r="AA42" s="1"/>
      <c r="AB42" s="1" t="s">
        <v>45</v>
      </c>
      <c r="AC42" s="1"/>
    </row>
    <row r="43" spans="1:29" x14ac:dyDescent="0.35">
      <c r="A43" s="2" t="s">
        <v>27</v>
      </c>
      <c r="B43" s="2" t="s">
        <v>28</v>
      </c>
      <c r="C43" s="2" t="s">
        <v>29</v>
      </c>
      <c r="D43" s="2" t="s">
        <v>30</v>
      </c>
      <c r="E43" s="2" t="s">
        <v>31</v>
      </c>
      <c r="F43" s="2" t="s">
        <v>52</v>
      </c>
      <c r="G43" s="2" t="s">
        <v>53</v>
      </c>
      <c r="H43" s="2" t="s">
        <v>54</v>
      </c>
      <c r="I43" s="2" t="s">
        <v>86</v>
      </c>
      <c r="J43" s="2" t="s">
        <v>272</v>
      </c>
      <c r="K43" s="2" t="s">
        <v>291</v>
      </c>
      <c r="L43" s="2" t="s">
        <v>274</v>
      </c>
      <c r="M43" t="s">
        <v>281</v>
      </c>
      <c r="N43" t="s">
        <v>52</v>
      </c>
      <c r="O43" t="s">
        <v>281</v>
      </c>
      <c r="P43" t="s">
        <v>282</v>
      </c>
      <c r="Q43" s="2" t="s">
        <v>61</v>
      </c>
      <c r="R43" s="2" t="s">
        <v>277</v>
      </c>
      <c r="S43" s="2" t="s">
        <v>63</v>
      </c>
      <c r="T43" s="2" t="s">
        <v>63</v>
      </c>
      <c r="U43" s="2" t="s">
        <v>40</v>
      </c>
      <c r="V43" s="2" t="s">
        <v>41</v>
      </c>
      <c r="W43" s="2" t="s">
        <v>294</v>
      </c>
      <c r="X43" s="2" t="s">
        <v>295</v>
      </c>
      <c r="Y43" s="2" t="s">
        <v>44</v>
      </c>
      <c r="Z43" s="2" t="b">
        <v>1</v>
      </c>
      <c r="AA43" s="2"/>
      <c r="AB43" s="2" t="s">
        <v>45</v>
      </c>
      <c r="AC43" s="2"/>
    </row>
    <row r="44" spans="1:29" x14ac:dyDescent="0.35">
      <c r="A44" s="1" t="s">
        <v>27</v>
      </c>
      <c r="B44" s="1" t="s">
        <v>28</v>
      </c>
      <c r="C44" s="1" t="s">
        <v>29</v>
      </c>
      <c r="D44" s="1">
        <v>1</v>
      </c>
      <c r="E44" s="1" t="s">
        <v>31</v>
      </c>
      <c r="F44" s="1" t="s">
        <v>52</v>
      </c>
      <c r="G44" s="1" t="s">
        <v>296</v>
      </c>
      <c r="H44" s="1" t="s">
        <v>297</v>
      </c>
      <c r="I44" s="1" t="s">
        <v>86</v>
      </c>
      <c r="J44" s="1" t="s">
        <v>298</v>
      </c>
      <c r="K44" s="1" t="s">
        <v>299</v>
      </c>
      <c r="L44" s="1" t="s">
        <v>193</v>
      </c>
      <c r="M44" t="s">
        <v>287</v>
      </c>
      <c r="N44" t="s">
        <v>52</v>
      </c>
      <c r="O44" t="s">
        <v>287</v>
      </c>
      <c r="P44" t="s">
        <v>288</v>
      </c>
      <c r="Q44" s="1"/>
      <c r="R44" s="1"/>
      <c r="S44" s="1"/>
      <c r="T44" s="1"/>
      <c r="U44" s="1">
        <v>60</v>
      </c>
      <c r="V44" s="1" t="s">
        <v>41</v>
      </c>
      <c r="W44" s="1" t="s">
        <v>196</v>
      </c>
      <c r="X44" s="1" t="s">
        <v>301</v>
      </c>
      <c r="Y44" s="1" t="s">
        <v>302</v>
      </c>
      <c r="Z44" s="1"/>
      <c r="AA44" s="1"/>
      <c r="AB44" s="1">
        <v>60000</v>
      </c>
      <c r="AC44" s="1"/>
    </row>
    <row r="45" spans="1:29" x14ac:dyDescent="0.35">
      <c r="A45" s="2" t="s">
        <v>27</v>
      </c>
      <c r="B45" s="2" t="s">
        <v>28</v>
      </c>
      <c r="C45" s="2" t="s">
        <v>29</v>
      </c>
      <c r="D45" s="2" t="s">
        <v>30</v>
      </c>
      <c r="E45" s="2" t="s">
        <v>31</v>
      </c>
      <c r="F45" s="2" t="s">
        <v>52</v>
      </c>
      <c r="G45" s="2" t="s">
        <v>33</v>
      </c>
      <c r="H45" s="2" t="s">
        <v>33</v>
      </c>
      <c r="I45" s="2" t="s">
        <v>34</v>
      </c>
      <c r="J45" s="2" t="s">
        <v>35</v>
      </c>
      <c r="K45" s="2" t="s">
        <v>303</v>
      </c>
      <c r="L45" s="2" t="s">
        <v>37</v>
      </c>
      <c r="M45" t="s">
        <v>292</v>
      </c>
      <c r="N45" t="s">
        <v>52</v>
      </c>
      <c r="O45" t="s">
        <v>292</v>
      </c>
      <c r="P45" t="s">
        <v>293</v>
      </c>
      <c r="Q45" s="2"/>
      <c r="R45" s="2"/>
      <c r="S45" s="2"/>
      <c r="T45" s="2"/>
      <c r="U45" s="2" t="s">
        <v>40</v>
      </c>
      <c r="V45" s="2" t="s">
        <v>41</v>
      </c>
      <c r="W45" s="2" t="s">
        <v>306</v>
      </c>
      <c r="X45" s="2" t="s">
        <v>307</v>
      </c>
      <c r="Y45" s="2" t="s">
        <v>44</v>
      </c>
      <c r="Z45" s="2"/>
      <c r="AA45" s="2"/>
      <c r="AB45" s="2" t="s">
        <v>45</v>
      </c>
      <c r="AC45" s="2"/>
    </row>
    <row r="46" spans="1:29" x14ac:dyDescent="0.35">
      <c r="A46" s="1" t="s">
        <v>27</v>
      </c>
      <c r="B46" s="1" t="s">
        <v>28</v>
      </c>
      <c r="C46" s="1" t="s">
        <v>29</v>
      </c>
      <c r="D46" s="1" t="s">
        <v>30</v>
      </c>
      <c r="E46" s="1" t="s">
        <v>31</v>
      </c>
      <c r="F46" s="1" t="s">
        <v>52</v>
      </c>
      <c r="G46" s="1" t="s">
        <v>53</v>
      </c>
      <c r="H46" s="1" t="s">
        <v>54</v>
      </c>
      <c r="I46" s="1" t="s">
        <v>86</v>
      </c>
      <c r="J46" s="1" t="s">
        <v>308</v>
      </c>
      <c r="K46" s="1" t="s">
        <v>309</v>
      </c>
      <c r="L46" s="1" t="s">
        <v>310</v>
      </c>
      <c r="M46" t="s">
        <v>194</v>
      </c>
      <c r="N46" t="s">
        <v>52</v>
      </c>
      <c r="O46" t="s">
        <v>194</v>
      </c>
      <c r="P46" t="s">
        <v>300</v>
      </c>
      <c r="Q46" s="1" t="s">
        <v>61</v>
      </c>
      <c r="R46" s="1" t="s">
        <v>129</v>
      </c>
      <c r="S46" s="1" t="s">
        <v>63</v>
      </c>
      <c r="T46" s="1" t="s">
        <v>63</v>
      </c>
      <c r="U46" s="1" t="s">
        <v>40</v>
      </c>
      <c r="V46" s="1" t="s">
        <v>41</v>
      </c>
      <c r="W46" s="1" t="s">
        <v>313</v>
      </c>
      <c r="X46" s="1" t="s">
        <v>314</v>
      </c>
      <c r="Y46" s="1" t="s">
        <v>44</v>
      </c>
      <c r="Z46" s="1" t="b">
        <v>1</v>
      </c>
      <c r="AA46" s="1"/>
      <c r="AB46" s="1" t="s">
        <v>45</v>
      </c>
      <c r="AC46" s="1"/>
    </row>
    <row r="47" spans="1:29" x14ac:dyDescent="0.35">
      <c r="A47" s="2" t="s">
        <v>27</v>
      </c>
      <c r="B47" s="2" t="s">
        <v>28</v>
      </c>
      <c r="C47" s="2" t="s">
        <v>29</v>
      </c>
      <c r="D47" s="2" t="s">
        <v>30</v>
      </c>
      <c r="E47" s="2" t="s">
        <v>31</v>
      </c>
      <c r="F47" s="2" t="s">
        <v>52</v>
      </c>
      <c r="G47" s="2" t="s">
        <v>33</v>
      </c>
      <c r="H47" s="2" t="s">
        <v>33</v>
      </c>
      <c r="I47" s="2" t="s">
        <v>86</v>
      </c>
      <c r="J47" s="2" t="s">
        <v>308</v>
      </c>
      <c r="K47" s="2" t="s">
        <v>315</v>
      </c>
      <c r="L47" s="2" t="s">
        <v>310</v>
      </c>
      <c r="M47" t="s">
        <v>304</v>
      </c>
      <c r="N47" t="s">
        <v>52</v>
      </c>
      <c r="O47" t="s">
        <v>304</v>
      </c>
      <c r="P47" t="s">
        <v>305</v>
      </c>
      <c r="Q47" s="2"/>
      <c r="R47" s="2"/>
      <c r="S47" s="2"/>
      <c r="T47" s="2"/>
      <c r="U47" s="2" t="s">
        <v>40</v>
      </c>
      <c r="V47" s="2" t="s">
        <v>41</v>
      </c>
      <c r="W47" s="2" t="s">
        <v>318</v>
      </c>
      <c r="X47" s="2" t="s">
        <v>319</v>
      </c>
      <c r="Y47" s="2" t="s">
        <v>44</v>
      </c>
      <c r="Z47" s="2" t="b">
        <v>1</v>
      </c>
      <c r="AA47" s="2"/>
      <c r="AB47" s="2" t="s">
        <v>45</v>
      </c>
      <c r="AC47" s="2"/>
    </row>
    <row r="48" spans="1:29" x14ac:dyDescent="0.35">
      <c r="A48" s="1" t="s">
        <v>27</v>
      </c>
      <c r="B48" s="1" t="s">
        <v>28</v>
      </c>
      <c r="C48" s="1" t="s">
        <v>29</v>
      </c>
      <c r="D48" s="1" t="s">
        <v>30</v>
      </c>
      <c r="E48" s="1" t="s">
        <v>31</v>
      </c>
      <c r="F48" s="1" t="s">
        <v>52</v>
      </c>
      <c r="G48" s="1" t="s">
        <v>53</v>
      </c>
      <c r="H48" s="1" t="s">
        <v>54</v>
      </c>
      <c r="I48" s="1" t="s">
        <v>86</v>
      </c>
      <c r="J48" s="1" t="s">
        <v>320</v>
      </c>
      <c r="K48" s="1" t="s">
        <v>321</v>
      </c>
      <c r="L48" s="1" t="s">
        <v>322</v>
      </c>
      <c r="M48" t="s">
        <v>311</v>
      </c>
      <c r="N48" t="s">
        <v>52</v>
      </c>
      <c r="O48" t="s">
        <v>311</v>
      </c>
      <c r="P48" t="s">
        <v>312</v>
      </c>
      <c r="Q48" s="1" t="s">
        <v>61</v>
      </c>
      <c r="R48" s="1" t="s">
        <v>325</v>
      </c>
      <c r="S48" s="1" t="s">
        <v>63</v>
      </c>
      <c r="T48" s="1" t="s">
        <v>63</v>
      </c>
      <c r="U48" s="1" t="s">
        <v>40</v>
      </c>
      <c r="V48" s="1" t="s">
        <v>41</v>
      </c>
      <c r="W48" s="1" t="s">
        <v>326</v>
      </c>
      <c r="X48" s="1" t="s">
        <v>327</v>
      </c>
      <c r="Y48" s="1" t="s">
        <v>44</v>
      </c>
      <c r="Z48" s="1" t="b">
        <v>1</v>
      </c>
      <c r="AA48" s="1"/>
      <c r="AB48" s="1" t="s">
        <v>45</v>
      </c>
      <c r="AC48" s="1"/>
    </row>
    <row r="49" spans="1:29" x14ac:dyDescent="0.35">
      <c r="A49" s="2" t="s">
        <v>27</v>
      </c>
      <c r="B49" s="2" t="s">
        <v>28</v>
      </c>
      <c r="C49" s="2" t="s">
        <v>29</v>
      </c>
      <c r="D49" s="2" t="s">
        <v>30</v>
      </c>
      <c r="E49" s="2" t="s">
        <v>31</v>
      </c>
      <c r="F49" s="2" t="s">
        <v>52</v>
      </c>
      <c r="G49" s="2" t="s">
        <v>53</v>
      </c>
      <c r="H49" s="2" t="s">
        <v>54</v>
      </c>
      <c r="I49" s="2" t="s">
        <v>86</v>
      </c>
      <c r="J49" s="2" t="s">
        <v>320</v>
      </c>
      <c r="K49" s="2" t="s">
        <v>328</v>
      </c>
      <c r="L49" s="2" t="s">
        <v>322</v>
      </c>
      <c r="M49" t="s">
        <v>316</v>
      </c>
      <c r="N49" t="s">
        <v>52</v>
      </c>
      <c r="O49" t="s">
        <v>316</v>
      </c>
      <c r="P49" t="s">
        <v>317</v>
      </c>
      <c r="Q49" s="2" t="s">
        <v>61</v>
      </c>
      <c r="R49" s="2" t="s">
        <v>325</v>
      </c>
      <c r="S49" s="2" t="s">
        <v>63</v>
      </c>
      <c r="T49" s="2" t="s">
        <v>63</v>
      </c>
      <c r="U49" s="2" t="s">
        <v>40</v>
      </c>
      <c r="V49" s="2" t="s">
        <v>41</v>
      </c>
      <c r="W49" s="2" t="s">
        <v>331</v>
      </c>
      <c r="X49" s="2" t="s">
        <v>332</v>
      </c>
      <c r="Y49" s="2" t="s">
        <v>44</v>
      </c>
      <c r="Z49" s="2" t="b">
        <v>1</v>
      </c>
      <c r="AA49" s="2"/>
      <c r="AB49" s="2" t="s">
        <v>45</v>
      </c>
      <c r="AC49" s="2"/>
    </row>
    <row r="50" spans="1:29" x14ac:dyDescent="0.35">
      <c r="A50" s="1" t="s">
        <v>27</v>
      </c>
      <c r="B50" s="1" t="s">
        <v>28</v>
      </c>
      <c r="C50" s="1" t="s">
        <v>29</v>
      </c>
      <c r="D50" s="1" t="s">
        <v>30</v>
      </c>
      <c r="E50" s="1" t="s">
        <v>31</v>
      </c>
      <c r="F50" s="1" t="s">
        <v>52</v>
      </c>
      <c r="G50" s="1" t="s">
        <v>53</v>
      </c>
      <c r="H50" s="1" t="s">
        <v>54</v>
      </c>
      <c r="I50" s="1" t="s">
        <v>86</v>
      </c>
      <c r="J50" s="1" t="s">
        <v>320</v>
      </c>
      <c r="K50" s="1" t="s">
        <v>333</v>
      </c>
      <c r="L50" s="1" t="s">
        <v>322</v>
      </c>
      <c r="M50" t="s">
        <v>323</v>
      </c>
      <c r="N50" t="s">
        <v>52</v>
      </c>
      <c r="O50" t="s">
        <v>323</v>
      </c>
      <c r="P50" t="s">
        <v>324</v>
      </c>
      <c r="Q50" s="1" t="s">
        <v>61</v>
      </c>
      <c r="R50" s="1" t="s">
        <v>325</v>
      </c>
      <c r="S50" s="1" t="s">
        <v>63</v>
      </c>
      <c r="T50" s="1" t="s">
        <v>63</v>
      </c>
      <c r="U50" s="1" t="s">
        <v>40</v>
      </c>
      <c r="V50" s="1" t="s">
        <v>41</v>
      </c>
      <c r="W50" s="1" t="s">
        <v>336</v>
      </c>
      <c r="X50" s="1" t="s">
        <v>337</v>
      </c>
      <c r="Y50" s="1" t="s">
        <v>44</v>
      </c>
      <c r="Z50" s="1" t="b">
        <v>1</v>
      </c>
      <c r="AA50" s="1"/>
      <c r="AB50" s="1" t="s">
        <v>45</v>
      </c>
      <c r="AC50" s="1"/>
    </row>
    <row r="51" spans="1:29" x14ac:dyDescent="0.35">
      <c r="A51" s="2" t="s">
        <v>27</v>
      </c>
      <c r="B51" s="2" t="s">
        <v>28</v>
      </c>
      <c r="C51" s="2" t="s">
        <v>29</v>
      </c>
      <c r="D51" s="2" t="s">
        <v>30</v>
      </c>
      <c r="E51" s="2" t="s">
        <v>31</v>
      </c>
      <c r="F51" s="2" t="s">
        <v>338</v>
      </c>
      <c r="G51" s="2" t="s">
        <v>53</v>
      </c>
      <c r="H51" s="2" t="s">
        <v>54</v>
      </c>
      <c r="I51" s="2" t="s">
        <v>55</v>
      </c>
      <c r="J51" s="2" t="s">
        <v>56</v>
      </c>
      <c r="K51" s="2" t="s">
        <v>339</v>
      </c>
      <c r="L51" s="2" t="s">
        <v>58</v>
      </c>
      <c r="M51" t="s">
        <v>329</v>
      </c>
      <c r="N51" t="s">
        <v>52</v>
      </c>
      <c r="O51" t="s">
        <v>329</v>
      </c>
      <c r="P51" t="s">
        <v>330</v>
      </c>
      <c r="Q51" s="2" t="s">
        <v>61</v>
      </c>
      <c r="R51" s="2" t="s">
        <v>62</v>
      </c>
      <c r="S51" s="2" t="s">
        <v>63</v>
      </c>
      <c r="T51" s="2" t="s">
        <v>63</v>
      </c>
      <c r="U51" s="2" t="s">
        <v>40</v>
      </c>
      <c r="V51" s="2" t="s">
        <v>41</v>
      </c>
      <c r="W51" s="2" t="s">
        <v>342</v>
      </c>
      <c r="X51" s="2" t="s">
        <v>343</v>
      </c>
      <c r="Y51" s="2" t="s">
        <v>44</v>
      </c>
      <c r="Z51" s="2" t="b">
        <v>1</v>
      </c>
      <c r="AA51" s="2"/>
      <c r="AB51" s="2" t="s">
        <v>45</v>
      </c>
      <c r="AC51" s="2"/>
    </row>
    <row r="52" spans="1:29" x14ac:dyDescent="0.35">
      <c r="A52" s="1" t="s">
        <v>27</v>
      </c>
      <c r="B52" s="1" t="s">
        <v>28</v>
      </c>
      <c r="C52" s="1" t="s">
        <v>29</v>
      </c>
      <c r="D52" s="1" t="s">
        <v>30</v>
      </c>
      <c r="E52" s="1" t="s">
        <v>31</v>
      </c>
      <c r="F52" s="1" t="s">
        <v>338</v>
      </c>
      <c r="G52" s="1" t="s">
        <v>53</v>
      </c>
      <c r="H52" s="1" t="s">
        <v>54</v>
      </c>
      <c r="I52" s="1" t="s">
        <v>55</v>
      </c>
      <c r="J52" s="1" t="s">
        <v>56</v>
      </c>
      <c r="K52" s="1" t="s">
        <v>344</v>
      </c>
      <c r="L52" s="1" t="s">
        <v>58</v>
      </c>
      <c r="M52" t="s">
        <v>334</v>
      </c>
      <c r="N52" t="s">
        <v>52</v>
      </c>
      <c r="O52" t="s">
        <v>334</v>
      </c>
      <c r="P52" t="s">
        <v>335</v>
      </c>
      <c r="Q52" s="1" t="s">
        <v>61</v>
      </c>
      <c r="R52" s="1" t="s">
        <v>62</v>
      </c>
      <c r="S52" s="1" t="s">
        <v>63</v>
      </c>
      <c r="T52" s="1" t="s">
        <v>63</v>
      </c>
      <c r="U52" s="1" t="s">
        <v>40</v>
      </c>
      <c r="V52" s="1" t="s">
        <v>41</v>
      </c>
      <c r="W52" s="1" t="s">
        <v>347</v>
      </c>
      <c r="X52" s="1" t="s">
        <v>348</v>
      </c>
      <c r="Y52" s="1" t="s">
        <v>44</v>
      </c>
      <c r="Z52" s="1" t="b">
        <v>1</v>
      </c>
      <c r="AA52" s="1"/>
      <c r="AB52" s="1" t="s">
        <v>45</v>
      </c>
      <c r="AC52" s="1"/>
    </row>
    <row r="53" spans="1:29" x14ac:dyDescent="0.35">
      <c r="A53" s="2" t="s">
        <v>27</v>
      </c>
      <c r="B53" s="2" t="s">
        <v>28</v>
      </c>
      <c r="C53" s="2" t="s">
        <v>29</v>
      </c>
      <c r="D53" s="2" t="s">
        <v>30</v>
      </c>
      <c r="E53" s="2" t="s">
        <v>31</v>
      </c>
      <c r="F53" s="2" t="s">
        <v>338</v>
      </c>
      <c r="G53" s="2" t="s">
        <v>53</v>
      </c>
      <c r="H53" s="2" t="s">
        <v>54</v>
      </c>
      <c r="I53" s="2" t="s">
        <v>55</v>
      </c>
      <c r="J53" s="2" t="s">
        <v>56</v>
      </c>
      <c r="K53" s="2" t="s">
        <v>349</v>
      </c>
      <c r="L53" s="2" t="s">
        <v>58</v>
      </c>
      <c r="M53" t="s">
        <v>88</v>
      </c>
      <c r="N53" t="s">
        <v>1883</v>
      </c>
      <c r="O53" t="s">
        <v>88</v>
      </c>
      <c r="P53" t="s">
        <v>1884</v>
      </c>
      <c r="Q53" s="2" t="s">
        <v>61</v>
      </c>
      <c r="R53" s="2" t="s">
        <v>62</v>
      </c>
      <c r="S53" s="2" t="s">
        <v>63</v>
      </c>
      <c r="T53" s="2" t="s">
        <v>63</v>
      </c>
      <c r="U53" s="2" t="s">
        <v>40</v>
      </c>
      <c r="V53" s="2" t="s">
        <v>41</v>
      </c>
      <c r="W53" s="2" t="s">
        <v>352</v>
      </c>
      <c r="X53" s="2" t="s">
        <v>353</v>
      </c>
      <c r="Y53" s="2" t="s">
        <v>44</v>
      </c>
      <c r="Z53" s="2" t="b">
        <v>1</v>
      </c>
      <c r="AA53" s="2"/>
      <c r="AB53" s="2" t="s">
        <v>45</v>
      </c>
      <c r="AC53" s="2"/>
    </row>
    <row r="54" spans="1:29" x14ac:dyDescent="0.35">
      <c r="A54" s="1" t="s">
        <v>27</v>
      </c>
      <c r="B54" s="1" t="s">
        <v>28</v>
      </c>
      <c r="C54" s="1" t="s">
        <v>29</v>
      </c>
      <c r="D54" s="1" t="s">
        <v>30</v>
      </c>
      <c r="E54" s="1" t="s">
        <v>31</v>
      </c>
      <c r="F54" s="1" t="s">
        <v>338</v>
      </c>
      <c r="G54" s="1" t="s">
        <v>53</v>
      </c>
      <c r="H54" s="1" t="s">
        <v>54</v>
      </c>
      <c r="I54" s="1" t="s">
        <v>55</v>
      </c>
      <c r="J54" s="1" t="s">
        <v>56</v>
      </c>
      <c r="K54" s="1" t="s">
        <v>354</v>
      </c>
      <c r="L54" s="1" t="s">
        <v>58</v>
      </c>
      <c r="M54" t="s">
        <v>1719</v>
      </c>
      <c r="N54" t="s">
        <v>1883</v>
      </c>
      <c r="O54" t="s">
        <v>1719</v>
      </c>
      <c r="P54" t="s">
        <v>1885</v>
      </c>
      <c r="Q54" s="1" t="s">
        <v>61</v>
      </c>
      <c r="R54" s="1" t="s">
        <v>62</v>
      </c>
      <c r="S54" s="1" t="s">
        <v>63</v>
      </c>
      <c r="T54" s="1" t="s">
        <v>63</v>
      </c>
      <c r="U54" s="1" t="s">
        <v>40</v>
      </c>
      <c r="V54" s="1" t="s">
        <v>41</v>
      </c>
      <c r="W54" s="1" t="s">
        <v>357</v>
      </c>
      <c r="X54" s="1" t="s">
        <v>358</v>
      </c>
      <c r="Y54" s="1" t="s">
        <v>44</v>
      </c>
      <c r="Z54" s="1" t="b">
        <v>1</v>
      </c>
      <c r="AA54" s="1"/>
      <c r="AB54" s="1" t="s">
        <v>45</v>
      </c>
      <c r="AC54" s="1"/>
    </row>
    <row r="55" spans="1:29" x14ac:dyDescent="0.35">
      <c r="A55" s="2" t="s">
        <v>27</v>
      </c>
      <c r="B55" s="2" t="s">
        <v>28</v>
      </c>
      <c r="C55" s="2" t="s">
        <v>29</v>
      </c>
      <c r="D55" s="2" t="s">
        <v>30</v>
      </c>
      <c r="E55" s="2" t="s">
        <v>31</v>
      </c>
      <c r="F55" s="2" t="s">
        <v>338</v>
      </c>
      <c r="G55" s="2" t="s">
        <v>53</v>
      </c>
      <c r="H55" s="2" t="s">
        <v>54</v>
      </c>
      <c r="I55" s="2" t="s">
        <v>55</v>
      </c>
      <c r="J55" s="2" t="s">
        <v>56</v>
      </c>
      <c r="K55" s="2" t="s">
        <v>359</v>
      </c>
      <c r="L55" s="2" t="s">
        <v>58</v>
      </c>
      <c r="M55" t="s">
        <v>1720</v>
      </c>
      <c r="N55" t="s">
        <v>1883</v>
      </c>
      <c r="O55" t="s">
        <v>1720</v>
      </c>
      <c r="P55" t="s">
        <v>1886</v>
      </c>
      <c r="Q55" s="2" t="s">
        <v>61</v>
      </c>
      <c r="R55" s="2" t="s">
        <v>62</v>
      </c>
      <c r="S55" s="2" t="s">
        <v>63</v>
      </c>
      <c r="T55" s="2" t="s">
        <v>63</v>
      </c>
      <c r="U55" s="2" t="s">
        <v>40</v>
      </c>
      <c r="V55" s="2" t="s">
        <v>41</v>
      </c>
      <c r="W55" s="2" t="s">
        <v>362</v>
      </c>
      <c r="X55" s="2" t="s">
        <v>363</v>
      </c>
      <c r="Y55" s="2" t="s">
        <v>44</v>
      </c>
      <c r="Z55" s="2" t="b">
        <v>1</v>
      </c>
      <c r="AA55" s="2"/>
      <c r="AB55" s="2" t="s">
        <v>45</v>
      </c>
      <c r="AC55" s="2"/>
    </row>
    <row r="56" spans="1:29" x14ac:dyDescent="0.35">
      <c r="A56" s="1" t="s">
        <v>27</v>
      </c>
      <c r="B56" s="1" t="s">
        <v>28</v>
      </c>
      <c r="C56" s="1" t="s">
        <v>29</v>
      </c>
      <c r="D56" s="1" t="s">
        <v>30</v>
      </c>
      <c r="E56" s="1" t="s">
        <v>31</v>
      </c>
      <c r="F56" s="1" t="s">
        <v>338</v>
      </c>
      <c r="G56" s="1" t="s">
        <v>53</v>
      </c>
      <c r="H56" s="1" t="s">
        <v>54</v>
      </c>
      <c r="I56" s="1" t="s">
        <v>86</v>
      </c>
      <c r="J56" s="1" t="s">
        <v>56</v>
      </c>
      <c r="K56" s="1" t="s">
        <v>364</v>
      </c>
      <c r="L56" s="1" t="s">
        <v>88</v>
      </c>
      <c r="M56" t="s">
        <v>1721</v>
      </c>
      <c r="N56" t="s">
        <v>1883</v>
      </c>
      <c r="O56" t="s">
        <v>1721</v>
      </c>
      <c r="P56" t="s">
        <v>1887</v>
      </c>
      <c r="Q56" s="1" t="s">
        <v>61</v>
      </c>
      <c r="R56" s="1" t="s">
        <v>367</v>
      </c>
      <c r="S56" s="1" t="s">
        <v>63</v>
      </c>
      <c r="T56" s="1" t="s">
        <v>63</v>
      </c>
      <c r="U56" s="1" t="s">
        <v>40</v>
      </c>
      <c r="V56" s="1" t="s">
        <v>41</v>
      </c>
      <c r="W56" s="1" t="s">
        <v>368</v>
      </c>
      <c r="X56" s="1" t="s">
        <v>369</v>
      </c>
      <c r="Y56" s="1" t="s">
        <v>44</v>
      </c>
      <c r="Z56" s="1" t="b">
        <v>1</v>
      </c>
      <c r="AA56" s="1"/>
      <c r="AB56" s="1" t="s">
        <v>45</v>
      </c>
      <c r="AC56" s="1"/>
    </row>
    <row r="57" spans="1:29" x14ac:dyDescent="0.35">
      <c r="A57" s="2" t="s">
        <v>27</v>
      </c>
      <c r="B57" s="2" t="s">
        <v>28</v>
      </c>
      <c r="C57" s="2" t="s">
        <v>29</v>
      </c>
      <c r="D57" s="2" t="s">
        <v>30</v>
      </c>
      <c r="E57" s="2" t="s">
        <v>31</v>
      </c>
      <c r="F57" s="2" t="s">
        <v>338</v>
      </c>
      <c r="G57" s="2" t="s">
        <v>53</v>
      </c>
      <c r="H57" s="2" t="s">
        <v>54</v>
      </c>
      <c r="I57" s="2" t="s">
        <v>86</v>
      </c>
      <c r="J57" s="2" t="s">
        <v>56</v>
      </c>
      <c r="K57" s="2" t="s">
        <v>370</v>
      </c>
      <c r="L57" s="2" t="s">
        <v>88</v>
      </c>
      <c r="M57" t="s">
        <v>1888</v>
      </c>
      <c r="N57" t="s">
        <v>1883</v>
      </c>
      <c r="O57" t="s">
        <v>1888</v>
      </c>
      <c r="P57" t="s">
        <v>1889</v>
      </c>
      <c r="Q57" s="2" t="s">
        <v>61</v>
      </c>
      <c r="R57" s="2" t="s">
        <v>373</v>
      </c>
      <c r="S57" s="2" t="s">
        <v>63</v>
      </c>
      <c r="T57" s="2" t="s">
        <v>63</v>
      </c>
      <c r="U57" s="2" t="s">
        <v>40</v>
      </c>
      <c r="V57" s="2" t="s">
        <v>41</v>
      </c>
      <c r="W57" s="2" t="s">
        <v>374</v>
      </c>
      <c r="X57" s="2" t="s">
        <v>375</v>
      </c>
      <c r="Y57" s="2" t="s">
        <v>44</v>
      </c>
      <c r="Z57" s="2" t="b">
        <v>1</v>
      </c>
      <c r="AA57" s="2"/>
      <c r="AB57" s="2" t="s">
        <v>45</v>
      </c>
      <c r="AC57" s="2"/>
    </row>
    <row r="58" spans="1:29" x14ac:dyDescent="0.35">
      <c r="A58" s="1" t="s">
        <v>27</v>
      </c>
      <c r="B58" s="1" t="s">
        <v>28</v>
      </c>
      <c r="C58" s="1" t="s">
        <v>29</v>
      </c>
      <c r="D58" s="1" t="s">
        <v>30</v>
      </c>
      <c r="E58" s="1" t="s">
        <v>31</v>
      </c>
      <c r="F58" s="1" t="s">
        <v>338</v>
      </c>
      <c r="G58" s="1" t="s">
        <v>53</v>
      </c>
      <c r="H58" s="1" t="s">
        <v>54</v>
      </c>
      <c r="I58" s="1" t="s">
        <v>86</v>
      </c>
      <c r="J58" s="1" t="s">
        <v>56</v>
      </c>
      <c r="K58" s="1" t="s">
        <v>376</v>
      </c>
      <c r="L58" s="1" t="s">
        <v>88</v>
      </c>
      <c r="M58" t="s">
        <v>1667</v>
      </c>
      <c r="N58" t="s">
        <v>1883</v>
      </c>
      <c r="O58" t="s">
        <v>1667</v>
      </c>
      <c r="P58" t="s">
        <v>1890</v>
      </c>
      <c r="Q58" s="1" t="s">
        <v>61</v>
      </c>
      <c r="R58" s="1" t="s">
        <v>379</v>
      </c>
      <c r="S58" s="1" t="s">
        <v>63</v>
      </c>
      <c r="T58" s="1" t="s">
        <v>63</v>
      </c>
      <c r="U58" s="1" t="s">
        <v>40</v>
      </c>
      <c r="V58" s="1" t="s">
        <v>41</v>
      </c>
      <c r="W58" s="1" t="s">
        <v>380</v>
      </c>
      <c r="X58" s="1" t="s">
        <v>381</v>
      </c>
      <c r="Y58" s="1" t="s">
        <v>44</v>
      </c>
      <c r="Z58" s="1" t="b">
        <v>1</v>
      </c>
      <c r="AA58" s="1"/>
      <c r="AB58" s="1" t="s">
        <v>45</v>
      </c>
      <c r="AC58" s="1"/>
    </row>
    <row r="59" spans="1:29" x14ac:dyDescent="0.35">
      <c r="A59" s="2" t="s">
        <v>27</v>
      </c>
      <c r="B59" s="2" t="s">
        <v>28</v>
      </c>
      <c r="C59" s="2" t="s">
        <v>29</v>
      </c>
      <c r="D59" s="2" t="s">
        <v>30</v>
      </c>
      <c r="E59" s="2" t="s">
        <v>31</v>
      </c>
      <c r="F59" s="2" t="s">
        <v>338</v>
      </c>
      <c r="G59" s="2" t="s">
        <v>53</v>
      </c>
      <c r="H59" s="2" t="s">
        <v>54</v>
      </c>
      <c r="I59" s="2" t="s">
        <v>86</v>
      </c>
      <c r="J59" s="2" t="s">
        <v>56</v>
      </c>
      <c r="K59" s="2" t="s">
        <v>382</v>
      </c>
      <c r="L59" s="2" t="s">
        <v>88</v>
      </c>
      <c r="M59" t="s">
        <v>1668</v>
      </c>
      <c r="N59" t="s">
        <v>1883</v>
      </c>
      <c r="O59" t="s">
        <v>1668</v>
      </c>
      <c r="P59" t="s">
        <v>1891</v>
      </c>
      <c r="Q59" s="2" t="s">
        <v>61</v>
      </c>
      <c r="R59" s="2" t="s">
        <v>385</v>
      </c>
      <c r="S59" s="2" t="s">
        <v>63</v>
      </c>
      <c r="T59" s="2" t="s">
        <v>63</v>
      </c>
      <c r="U59" s="2" t="s">
        <v>40</v>
      </c>
      <c r="V59" s="2" t="s">
        <v>41</v>
      </c>
      <c r="W59" s="2" t="s">
        <v>386</v>
      </c>
      <c r="X59" s="2" t="s">
        <v>387</v>
      </c>
      <c r="Y59" s="2" t="s">
        <v>44</v>
      </c>
      <c r="Z59" s="2" t="b">
        <v>1</v>
      </c>
      <c r="AA59" s="2"/>
      <c r="AB59" s="2" t="s">
        <v>45</v>
      </c>
      <c r="AC59" s="2"/>
    </row>
    <row r="60" spans="1:29" x14ac:dyDescent="0.35">
      <c r="A60" s="1" t="s">
        <v>27</v>
      </c>
      <c r="B60" s="1" t="s">
        <v>28</v>
      </c>
      <c r="C60" s="1" t="s">
        <v>29</v>
      </c>
      <c r="D60" s="1" t="s">
        <v>30</v>
      </c>
      <c r="E60" s="1" t="s">
        <v>31</v>
      </c>
      <c r="F60" s="1" t="s">
        <v>338</v>
      </c>
      <c r="G60" s="1" t="s">
        <v>53</v>
      </c>
      <c r="H60" s="1" t="s">
        <v>54</v>
      </c>
      <c r="I60" s="1" t="s">
        <v>86</v>
      </c>
      <c r="J60" s="1" t="s">
        <v>56</v>
      </c>
      <c r="K60" s="1" t="s">
        <v>388</v>
      </c>
      <c r="L60" s="1" t="s">
        <v>88</v>
      </c>
      <c r="M60" t="s">
        <v>1669</v>
      </c>
      <c r="N60" t="s">
        <v>1883</v>
      </c>
      <c r="O60" t="s">
        <v>1669</v>
      </c>
      <c r="P60" t="s">
        <v>1892</v>
      </c>
      <c r="Q60" s="1" t="s">
        <v>61</v>
      </c>
      <c r="R60" s="1" t="s">
        <v>391</v>
      </c>
      <c r="S60" s="1" t="s">
        <v>63</v>
      </c>
      <c r="T60" s="1" t="s">
        <v>63</v>
      </c>
      <c r="U60" s="1" t="s">
        <v>40</v>
      </c>
      <c r="V60" s="1" t="s">
        <v>41</v>
      </c>
      <c r="W60" s="1" t="s">
        <v>392</v>
      </c>
      <c r="X60" s="1" t="s">
        <v>393</v>
      </c>
      <c r="Y60" s="1" t="s">
        <v>44</v>
      </c>
      <c r="Z60" s="1" t="b">
        <v>1</v>
      </c>
      <c r="AA60" s="1"/>
      <c r="AB60" s="1" t="s">
        <v>45</v>
      </c>
      <c r="AC60" s="1"/>
    </row>
    <row r="61" spans="1:29" x14ac:dyDescent="0.35">
      <c r="A61" s="2" t="s">
        <v>27</v>
      </c>
      <c r="B61" s="2" t="s">
        <v>28</v>
      </c>
      <c r="C61" s="2" t="s">
        <v>29</v>
      </c>
      <c r="D61" s="2" t="s">
        <v>30</v>
      </c>
      <c r="E61" s="2" t="s">
        <v>31</v>
      </c>
      <c r="F61" s="2" t="s">
        <v>338</v>
      </c>
      <c r="G61" s="2" t="s">
        <v>53</v>
      </c>
      <c r="H61" s="2" t="s">
        <v>54</v>
      </c>
      <c r="I61" s="2" t="s">
        <v>86</v>
      </c>
      <c r="J61" s="2" t="s">
        <v>56</v>
      </c>
      <c r="K61" s="2" t="s">
        <v>394</v>
      </c>
      <c r="L61" s="2" t="s">
        <v>133</v>
      </c>
      <c r="M61" t="s">
        <v>1670</v>
      </c>
      <c r="N61" t="s">
        <v>1883</v>
      </c>
      <c r="O61" t="s">
        <v>1670</v>
      </c>
      <c r="P61" t="s">
        <v>1893</v>
      </c>
      <c r="Q61" s="2" t="s">
        <v>61</v>
      </c>
      <c r="R61" s="2" t="s">
        <v>136</v>
      </c>
      <c r="S61" s="2" t="s">
        <v>63</v>
      </c>
      <c r="T61" s="2" t="s">
        <v>63</v>
      </c>
      <c r="U61" s="2" t="s">
        <v>40</v>
      </c>
      <c r="V61" s="2" t="s">
        <v>41</v>
      </c>
      <c r="W61" s="2" t="s">
        <v>397</v>
      </c>
      <c r="X61" s="2" t="s">
        <v>398</v>
      </c>
      <c r="Y61" s="2" t="s">
        <v>44</v>
      </c>
      <c r="Z61" s="2" t="b">
        <v>1</v>
      </c>
      <c r="AA61" s="2"/>
      <c r="AB61" s="2" t="s">
        <v>45</v>
      </c>
      <c r="AC61" s="2"/>
    </row>
    <row r="62" spans="1:29" x14ac:dyDescent="0.35">
      <c r="A62" s="1" t="s">
        <v>27</v>
      </c>
      <c r="B62" s="1" t="s">
        <v>28</v>
      </c>
      <c r="C62" s="1" t="s">
        <v>29</v>
      </c>
      <c r="D62" s="1" t="s">
        <v>30</v>
      </c>
      <c r="E62" s="1" t="s">
        <v>31</v>
      </c>
      <c r="F62" s="1" t="s">
        <v>338</v>
      </c>
      <c r="G62" s="1" t="s">
        <v>53</v>
      </c>
      <c r="H62" s="1" t="s">
        <v>54</v>
      </c>
      <c r="I62" s="1" t="s">
        <v>86</v>
      </c>
      <c r="J62" s="1" t="s">
        <v>56</v>
      </c>
      <c r="K62" s="1" t="s">
        <v>399</v>
      </c>
      <c r="L62" s="1" t="s">
        <v>88</v>
      </c>
      <c r="M62" t="s">
        <v>1675</v>
      </c>
      <c r="N62" t="s">
        <v>1883</v>
      </c>
      <c r="O62" t="s">
        <v>1675</v>
      </c>
      <c r="P62" t="s">
        <v>1894</v>
      </c>
      <c r="Q62" s="1" t="s">
        <v>61</v>
      </c>
      <c r="R62" s="1" t="s">
        <v>402</v>
      </c>
      <c r="S62" s="1" t="s">
        <v>63</v>
      </c>
      <c r="T62" s="1" t="s">
        <v>63</v>
      </c>
      <c r="U62" s="1" t="s">
        <v>40</v>
      </c>
      <c r="V62" s="1" t="s">
        <v>41</v>
      </c>
      <c r="W62" s="1" t="s">
        <v>403</v>
      </c>
      <c r="X62" s="1" t="s">
        <v>404</v>
      </c>
      <c r="Y62" s="1" t="s">
        <v>44</v>
      </c>
      <c r="Z62" s="1" t="b">
        <v>1</v>
      </c>
      <c r="AA62" s="1"/>
      <c r="AB62" s="1" t="s">
        <v>45</v>
      </c>
      <c r="AC62" s="1"/>
    </row>
    <row r="63" spans="1:29" x14ac:dyDescent="0.35">
      <c r="A63" s="2" t="s">
        <v>27</v>
      </c>
      <c r="B63" s="2" t="s">
        <v>28</v>
      </c>
      <c r="C63" s="2" t="s">
        <v>29</v>
      </c>
      <c r="D63" s="2" t="s">
        <v>30</v>
      </c>
      <c r="E63" s="2" t="s">
        <v>31</v>
      </c>
      <c r="F63" s="2" t="s">
        <v>338</v>
      </c>
      <c r="G63" s="2" t="s">
        <v>53</v>
      </c>
      <c r="H63" s="2" t="s">
        <v>54</v>
      </c>
      <c r="I63" s="2" t="s">
        <v>86</v>
      </c>
      <c r="J63" s="2" t="s">
        <v>56</v>
      </c>
      <c r="K63" s="2" t="s">
        <v>405</v>
      </c>
      <c r="L63" s="2" t="s">
        <v>88</v>
      </c>
      <c r="M63" t="s">
        <v>1676</v>
      </c>
      <c r="N63" t="s">
        <v>1883</v>
      </c>
      <c r="O63" t="s">
        <v>1676</v>
      </c>
      <c r="P63" t="s">
        <v>1895</v>
      </c>
      <c r="Q63" s="2" t="s">
        <v>61</v>
      </c>
      <c r="R63" s="2" t="s">
        <v>408</v>
      </c>
      <c r="S63" s="2" t="s">
        <v>63</v>
      </c>
      <c r="T63" s="2" t="s">
        <v>63</v>
      </c>
      <c r="U63" s="2" t="s">
        <v>40</v>
      </c>
      <c r="V63" s="2" t="s">
        <v>41</v>
      </c>
      <c r="W63" s="2" t="s">
        <v>409</v>
      </c>
      <c r="X63" s="2" t="s">
        <v>410</v>
      </c>
      <c r="Y63" s="2" t="s">
        <v>44</v>
      </c>
      <c r="Z63" s="2" t="b">
        <v>1</v>
      </c>
      <c r="AA63" s="2"/>
      <c r="AB63" s="2" t="s">
        <v>45</v>
      </c>
      <c r="AC63" s="2"/>
    </row>
    <row r="64" spans="1:29" x14ac:dyDescent="0.35">
      <c r="A64" s="1" t="s">
        <v>27</v>
      </c>
      <c r="B64" s="1" t="s">
        <v>28</v>
      </c>
      <c r="C64" s="1" t="s">
        <v>29</v>
      </c>
      <c r="D64" s="1" t="s">
        <v>30</v>
      </c>
      <c r="E64" s="1" t="s">
        <v>31</v>
      </c>
      <c r="F64" s="1" t="s">
        <v>338</v>
      </c>
      <c r="G64" s="1" t="s">
        <v>53</v>
      </c>
      <c r="H64" s="1" t="s">
        <v>54</v>
      </c>
      <c r="I64" s="1" t="s">
        <v>86</v>
      </c>
      <c r="J64" s="1" t="s">
        <v>139</v>
      </c>
      <c r="K64" s="1" t="s">
        <v>411</v>
      </c>
      <c r="L64" s="1" t="s">
        <v>141</v>
      </c>
      <c r="M64" t="s">
        <v>1677</v>
      </c>
      <c r="N64" t="s">
        <v>1883</v>
      </c>
      <c r="O64" t="s">
        <v>1677</v>
      </c>
      <c r="P64" t="s">
        <v>1896</v>
      </c>
      <c r="Q64" s="1" t="s">
        <v>61</v>
      </c>
      <c r="R64" s="1" t="s">
        <v>102</v>
      </c>
      <c r="S64" s="1" t="s">
        <v>63</v>
      </c>
      <c r="T64" s="1" t="s">
        <v>63</v>
      </c>
      <c r="U64" s="1" t="s">
        <v>40</v>
      </c>
      <c r="V64" s="1" t="s">
        <v>41</v>
      </c>
      <c r="W64" s="1" t="s">
        <v>414</v>
      </c>
      <c r="X64" s="1" t="s">
        <v>415</v>
      </c>
      <c r="Y64" s="1" t="s">
        <v>44</v>
      </c>
      <c r="Z64" s="1" t="b">
        <v>1</v>
      </c>
      <c r="AA64" s="1"/>
      <c r="AB64" s="1" t="s">
        <v>45</v>
      </c>
      <c r="AC64" s="1"/>
    </row>
    <row r="65" spans="1:29" x14ac:dyDescent="0.35">
      <c r="A65" s="2" t="s">
        <v>27</v>
      </c>
      <c r="B65" s="2" t="s">
        <v>28</v>
      </c>
      <c r="C65" s="2" t="s">
        <v>29</v>
      </c>
      <c r="D65" s="2" t="s">
        <v>30</v>
      </c>
      <c r="E65" s="2" t="s">
        <v>31</v>
      </c>
      <c r="F65" s="2" t="s">
        <v>338</v>
      </c>
      <c r="G65" s="2" t="s">
        <v>53</v>
      </c>
      <c r="H65" s="2" t="s">
        <v>54</v>
      </c>
      <c r="I65" s="2" t="s">
        <v>86</v>
      </c>
      <c r="J65" s="2" t="s">
        <v>139</v>
      </c>
      <c r="K65" s="2" t="s">
        <v>416</v>
      </c>
      <c r="L65" s="2" t="s">
        <v>141</v>
      </c>
      <c r="M65" t="s">
        <v>1678</v>
      </c>
      <c r="N65" t="s">
        <v>1883</v>
      </c>
      <c r="O65" t="s">
        <v>1678</v>
      </c>
      <c r="P65" t="s">
        <v>1897</v>
      </c>
      <c r="Q65" s="2" t="s">
        <v>61</v>
      </c>
      <c r="R65" s="2" t="s">
        <v>419</v>
      </c>
      <c r="S65" s="2" t="s">
        <v>63</v>
      </c>
      <c r="T65" s="2" t="s">
        <v>63</v>
      </c>
      <c r="U65" s="2" t="s">
        <v>40</v>
      </c>
      <c r="V65" s="2" t="s">
        <v>41</v>
      </c>
      <c r="W65" s="2" t="s">
        <v>420</v>
      </c>
      <c r="X65" s="2" t="s">
        <v>421</v>
      </c>
      <c r="Y65" s="2" t="s">
        <v>44</v>
      </c>
      <c r="Z65" s="2" t="b">
        <v>1</v>
      </c>
      <c r="AA65" s="2"/>
      <c r="AB65" s="2" t="s">
        <v>45</v>
      </c>
      <c r="AC65" s="2"/>
    </row>
    <row r="66" spans="1:29" x14ac:dyDescent="0.35">
      <c r="A66" s="1" t="s">
        <v>27</v>
      </c>
      <c r="B66" s="1" t="s">
        <v>28</v>
      </c>
      <c r="C66" s="1" t="s">
        <v>29</v>
      </c>
      <c r="D66" s="1" t="s">
        <v>30</v>
      </c>
      <c r="E66" s="1" t="s">
        <v>31</v>
      </c>
      <c r="F66" s="1" t="s">
        <v>338</v>
      </c>
      <c r="G66" s="1" t="s">
        <v>53</v>
      </c>
      <c r="H66" s="1" t="s">
        <v>54</v>
      </c>
      <c r="I66" s="1" t="s">
        <v>86</v>
      </c>
      <c r="J66" s="1" t="s">
        <v>139</v>
      </c>
      <c r="K66" s="1" t="s">
        <v>422</v>
      </c>
      <c r="L66" s="1" t="s">
        <v>141</v>
      </c>
      <c r="M66" t="s">
        <v>1695</v>
      </c>
      <c r="N66" t="s">
        <v>1883</v>
      </c>
      <c r="O66" t="s">
        <v>1695</v>
      </c>
      <c r="P66" t="s">
        <v>1898</v>
      </c>
      <c r="Q66" s="1" t="s">
        <v>61</v>
      </c>
      <c r="R66" s="1" t="s">
        <v>425</v>
      </c>
      <c r="S66" s="1" t="s">
        <v>63</v>
      </c>
      <c r="T66" s="1" t="s">
        <v>63</v>
      </c>
      <c r="U66" s="1" t="s">
        <v>40</v>
      </c>
      <c r="V66" s="1" t="s">
        <v>41</v>
      </c>
      <c r="W66" s="1" t="s">
        <v>426</v>
      </c>
      <c r="X66" s="1" t="s">
        <v>427</v>
      </c>
      <c r="Y66" s="1" t="s">
        <v>44</v>
      </c>
      <c r="Z66" s="1" t="b">
        <v>1</v>
      </c>
      <c r="AA66" s="1"/>
      <c r="AB66" s="1" t="s">
        <v>45</v>
      </c>
      <c r="AC66" s="1"/>
    </row>
    <row r="67" spans="1:29" x14ac:dyDescent="0.35">
      <c r="A67" s="2" t="s">
        <v>27</v>
      </c>
      <c r="B67" s="2" t="s">
        <v>28</v>
      </c>
      <c r="C67" s="2" t="s">
        <v>29</v>
      </c>
      <c r="D67" s="2" t="s">
        <v>30</v>
      </c>
      <c r="E67" s="2" t="s">
        <v>31</v>
      </c>
      <c r="F67" s="2" t="s">
        <v>338</v>
      </c>
      <c r="G67" s="2" t="s">
        <v>53</v>
      </c>
      <c r="H67" s="2" t="s">
        <v>54</v>
      </c>
      <c r="I67" s="2" t="s">
        <v>86</v>
      </c>
      <c r="J67" s="2" t="s">
        <v>163</v>
      </c>
      <c r="K67" s="2" t="s">
        <v>428</v>
      </c>
      <c r="L67" s="2" t="s">
        <v>165</v>
      </c>
      <c r="M67" t="s">
        <v>1696</v>
      </c>
      <c r="N67" t="s">
        <v>1883</v>
      </c>
      <c r="O67" t="s">
        <v>1696</v>
      </c>
      <c r="P67" t="s">
        <v>1899</v>
      </c>
      <c r="Q67" s="2" t="s">
        <v>61</v>
      </c>
      <c r="R67" s="2" t="s">
        <v>431</v>
      </c>
      <c r="S67" s="2" t="s">
        <v>63</v>
      </c>
      <c r="T67" s="2" t="s">
        <v>63</v>
      </c>
      <c r="U67" s="2" t="s">
        <v>40</v>
      </c>
      <c r="V67" s="2" t="s">
        <v>41</v>
      </c>
      <c r="W67" s="2" t="s">
        <v>432</v>
      </c>
      <c r="X67" s="2" t="s">
        <v>433</v>
      </c>
      <c r="Y67" s="2" t="s">
        <v>44</v>
      </c>
      <c r="Z67" s="2" t="b">
        <v>1</v>
      </c>
      <c r="AA67" s="2"/>
      <c r="AB67" s="2" t="s">
        <v>45</v>
      </c>
      <c r="AC67" s="2"/>
    </row>
    <row r="68" spans="1:29" x14ac:dyDescent="0.35">
      <c r="A68" s="1" t="s">
        <v>27</v>
      </c>
      <c r="B68" s="1" t="s">
        <v>28</v>
      </c>
      <c r="C68" s="1" t="s">
        <v>29</v>
      </c>
      <c r="D68" s="1" t="s">
        <v>30</v>
      </c>
      <c r="E68" s="1" t="s">
        <v>31</v>
      </c>
      <c r="F68" s="1" t="s">
        <v>338</v>
      </c>
      <c r="G68" s="1" t="s">
        <v>33</v>
      </c>
      <c r="H68" s="1" t="s">
        <v>33</v>
      </c>
      <c r="I68" s="1" t="s">
        <v>86</v>
      </c>
      <c r="J68" s="1" t="s">
        <v>163</v>
      </c>
      <c r="K68" s="1" t="s">
        <v>434</v>
      </c>
      <c r="L68" s="1" t="s">
        <v>165</v>
      </c>
      <c r="M68" t="s">
        <v>1697</v>
      </c>
      <c r="N68" t="s">
        <v>1883</v>
      </c>
      <c r="O68" t="s">
        <v>1697</v>
      </c>
      <c r="P68" t="s">
        <v>1900</v>
      </c>
      <c r="Q68" s="1"/>
      <c r="R68" s="1"/>
      <c r="S68" s="1"/>
      <c r="T68" s="1"/>
      <c r="U68" s="1" t="s">
        <v>40</v>
      </c>
      <c r="V68" s="1" t="s">
        <v>41</v>
      </c>
      <c r="W68" s="1" t="s">
        <v>437</v>
      </c>
      <c r="X68" s="1" t="s">
        <v>438</v>
      </c>
      <c r="Y68" s="1" t="s">
        <v>44</v>
      </c>
      <c r="Z68" s="1"/>
      <c r="AA68" s="1"/>
      <c r="AB68" s="1" t="s">
        <v>45</v>
      </c>
      <c r="AC68" s="1"/>
    </row>
    <row r="69" spans="1:29" x14ac:dyDescent="0.35">
      <c r="A69" s="2" t="s">
        <v>27</v>
      </c>
      <c r="B69" s="2" t="s">
        <v>28</v>
      </c>
      <c r="C69" s="2" t="s">
        <v>29</v>
      </c>
      <c r="D69" s="2" t="s">
        <v>30</v>
      </c>
      <c r="E69" s="2" t="s">
        <v>31</v>
      </c>
      <c r="F69" s="2" t="s">
        <v>338</v>
      </c>
      <c r="G69" s="2" t="s">
        <v>53</v>
      </c>
      <c r="H69" s="2" t="s">
        <v>54</v>
      </c>
      <c r="I69" s="2" t="s">
        <v>86</v>
      </c>
      <c r="J69" s="2" t="s">
        <v>163</v>
      </c>
      <c r="K69" s="2" t="s">
        <v>439</v>
      </c>
      <c r="L69" s="2" t="s">
        <v>165</v>
      </c>
      <c r="M69" t="s">
        <v>1698</v>
      </c>
      <c r="N69" t="s">
        <v>1883</v>
      </c>
      <c r="O69" t="s">
        <v>1698</v>
      </c>
      <c r="P69" t="s">
        <v>1901</v>
      </c>
      <c r="Q69" s="2" t="s">
        <v>61</v>
      </c>
      <c r="R69" s="2" t="s">
        <v>168</v>
      </c>
      <c r="S69" s="2" t="s">
        <v>63</v>
      </c>
      <c r="T69" s="2" t="s">
        <v>63</v>
      </c>
      <c r="U69" s="2" t="s">
        <v>40</v>
      </c>
      <c r="V69" s="2" t="s">
        <v>41</v>
      </c>
      <c r="W69" s="2" t="s">
        <v>442</v>
      </c>
      <c r="X69" s="2" t="s">
        <v>443</v>
      </c>
      <c r="Y69" s="2" t="s">
        <v>44</v>
      </c>
      <c r="Z69" s="2" t="b">
        <v>1</v>
      </c>
      <c r="AA69" s="2"/>
      <c r="AB69" s="2" t="s">
        <v>45</v>
      </c>
      <c r="AC69" s="2"/>
    </row>
    <row r="70" spans="1:29" x14ac:dyDescent="0.35">
      <c r="A70" s="1" t="s">
        <v>27</v>
      </c>
      <c r="B70" s="1" t="s">
        <v>28</v>
      </c>
      <c r="C70" s="1" t="s">
        <v>29</v>
      </c>
      <c r="D70" s="1" t="s">
        <v>30</v>
      </c>
      <c r="E70" s="1" t="s">
        <v>31</v>
      </c>
      <c r="F70" s="1" t="s">
        <v>338</v>
      </c>
      <c r="G70" s="1" t="s">
        <v>53</v>
      </c>
      <c r="H70" s="1" t="s">
        <v>54</v>
      </c>
      <c r="I70" s="1" t="s">
        <v>86</v>
      </c>
      <c r="J70" s="1" t="s">
        <v>191</v>
      </c>
      <c r="K70" s="1" t="s">
        <v>444</v>
      </c>
      <c r="L70" s="1" t="s">
        <v>193</v>
      </c>
      <c r="M70" t="s">
        <v>1671</v>
      </c>
      <c r="N70" t="s">
        <v>1883</v>
      </c>
      <c r="O70" t="s">
        <v>1671</v>
      </c>
      <c r="P70" t="s">
        <v>1902</v>
      </c>
      <c r="Q70" s="1" t="s">
        <v>61</v>
      </c>
      <c r="R70" s="1" t="s">
        <v>62</v>
      </c>
      <c r="S70" s="1" t="s">
        <v>63</v>
      </c>
      <c r="T70" s="1" t="s">
        <v>63</v>
      </c>
      <c r="U70" s="1" t="s">
        <v>40</v>
      </c>
      <c r="V70" s="1" t="s">
        <v>41</v>
      </c>
      <c r="W70" s="1" t="s">
        <v>447</v>
      </c>
      <c r="X70" s="1" t="s">
        <v>448</v>
      </c>
      <c r="Y70" s="1" t="s">
        <v>44</v>
      </c>
      <c r="Z70" s="1" t="b">
        <v>1</v>
      </c>
      <c r="AA70" s="1"/>
      <c r="AB70" s="1" t="s">
        <v>45</v>
      </c>
      <c r="AC70" s="1"/>
    </row>
    <row r="71" spans="1:29" x14ac:dyDescent="0.35">
      <c r="A71" s="2" t="s">
        <v>27</v>
      </c>
      <c r="B71" s="2" t="s">
        <v>28</v>
      </c>
      <c r="C71" s="2" t="s">
        <v>29</v>
      </c>
      <c r="D71" s="2" t="s">
        <v>30</v>
      </c>
      <c r="E71" s="2" t="s">
        <v>31</v>
      </c>
      <c r="F71" s="2" t="s">
        <v>338</v>
      </c>
      <c r="G71" s="2" t="s">
        <v>53</v>
      </c>
      <c r="H71" s="2" t="s">
        <v>54</v>
      </c>
      <c r="I71" s="2" t="s">
        <v>86</v>
      </c>
      <c r="J71" s="2" t="s">
        <v>191</v>
      </c>
      <c r="K71" s="2" t="s">
        <v>449</v>
      </c>
      <c r="L71" s="2" t="s">
        <v>199</v>
      </c>
      <c r="M71" t="s">
        <v>1672</v>
      </c>
      <c r="N71" t="s">
        <v>1883</v>
      </c>
      <c r="O71" t="s">
        <v>1672</v>
      </c>
      <c r="P71" t="s">
        <v>1903</v>
      </c>
      <c r="Q71" s="2" t="s">
        <v>61</v>
      </c>
      <c r="R71" s="2" t="s">
        <v>452</v>
      </c>
      <c r="S71" s="2" t="s">
        <v>63</v>
      </c>
      <c r="T71" s="2" t="s">
        <v>63</v>
      </c>
      <c r="U71" s="2" t="s">
        <v>40</v>
      </c>
      <c r="V71" s="2" t="s">
        <v>41</v>
      </c>
      <c r="W71" s="2" t="s">
        <v>453</v>
      </c>
      <c r="X71" s="2" t="s">
        <v>454</v>
      </c>
      <c r="Y71" s="2" t="s">
        <v>44</v>
      </c>
      <c r="Z71" s="2" t="b">
        <v>1</v>
      </c>
      <c r="AA71" s="2"/>
      <c r="AB71" s="2" t="s">
        <v>45</v>
      </c>
      <c r="AC71" s="2"/>
    </row>
    <row r="72" spans="1:29" x14ac:dyDescent="0.35">
      <c r="A72" s="1" t="s">
        <v>27</v>
      </c>
      <c r="B72" s="1" t="s">
        <v>28</v>
      </c>
      <c r="C72" s="1" t="s">
        <v>29</v>
      </c>
      <c r="D72" s="1" t="s">
        <v>30</v>
      </c>
      <c r="E72" s="1" t="s">
        <v>31</v>
      </c>
      <c r="F72" s="1" t="s">
        <v>338</v>
      </c>
      <c r="G72" s="1" t="s">
        <v>53</v>
      </c>
      <c r="H72" s="1" t="s">
        <v>54</v>
      </c>
      <c r="I72" s="1" t="s">
        <v>86</v>
      </c>
      <c r="J72" s="1" t="s">
        <v>191</v>
      </c>
      <c r="K72" s="1" t="s">
        <v>455</v>
      </c>
      <c r="L72" s="1" t="s">
        <v>199</v>
      </c>
      <c r="M72" t="s">
        <v>1673</v>
      </c>
      <c r="N72" t="s">
        <v>1883</v>
      </c>
      <c r="O72" t="s">
        <v>1673</v>
      </c>
      <c r="P72" t="s">
        <v>1904</v>
      </c>
      <c r="Q72" s="1" t="s">
        <v>61</v>
      </c>
      <c r="R72" s="1" t="s">
        <v>452</v>
      </c>
      <c r="S72" s="1" t="s">
        <v>63</v>
      </c>
      <c r="T72" s="1" t="s">
        <v>63</v>
      </c>
      <c r="U72" s="1" t="s">
        <v>40</v>
      </c>
      <c r="V72" s="1" t="s">
        <v>41</v>
      </c>
      <c r="W72" s="1" t="s">
        <v>458</v>
      </c>
      <c r="X72" s="1" t="s">
        <v>459</v>
      </c>
      <c r="Y72" s="1" t="s">
        <v>44</v>
      </c>
      <c r="Z72" s="1" t="b">
        <v>1</v>
      </c>
      <c r="AA72" s="1"/>
      <c r="AB72" s="1" t="s">
        <v>45</v>
      </c>
      <c r="AC72" s="1"/>
    </row>
    <row r="73" spans="1:29" x14ac:dyDescent="0.35">
      <c r="A73" s="2" t="s">
        <v>27</v>
      </c>
      <c r="B73" s="2" t="s">
        <v>28</v>
      </c>
      <c r="C73" s="2" t="s">
        <v>29</v>
      </c>
      <c r="D73" s="2" t="s">
        <v>30</v>
      </c>
      <c r="E73" s="2" t="s">
        <v>31</v>
      </c>
      <c r="F73" s="2" t="s">
        <v>338</v>
      </c>
      <c r="G73" s="2" t="s">
        <v>53</v>
      </c>
      <c r="H73" s="2" t="s">
        <v>54</v>
      </c>
      <c r="I73" s="2" t="s">
        <v>86</v>
      </c>
      <c r="J73" s="2" t="s">
        <v>191</v>
      </c>
      <c r="K73" s="2" t="s">
        <v>455</v>
      </c>
      <c r="L73" s="2" t="s">
        <v>199</v>
      </c>
      <c r="M73" t="s">
        <v>1674</v>
      </c>
      <c r="N73" t="s">
        <v>1883</v>
      </c>
      <c r="O73" t="s">
        <v>1674</v>
      </c>
      <c r="P73" t="s">
        <v>1905</v>
      </c>
      <c r="Q73" s="2" t="s">
        <v>61</v>
      </c>
      <c r="R73" s="2" t="s">
        <v>452</v>
      </c>
      <c r="S73" s="2" t="s">
        <v>63</v>
      </c>
      <c r="T73" s="2" t="s">
        <v>63</v>
      </c>
      <c r="U73" s="2" t="s">
        <v>40</v>
      </c>
      <c r="V73" s="2" t="s">
        <v>41</v>
      </c>
      <c r="W73" s="2" t="s">
        <v>462</v>
      </c>
      <c r="X73" s="2" t="s">
        <v>463</v>
      </c>
      <c r="Y73" s="2" t="s">
        <v>44</v>
      </c>
      <c r="Z73" s="2" t="b">
        <v>1</v>
      </c>
      <c r="AA73" s="2"/>
      <c r="AB73" s="2" t="s">
        <v>45</v>
      </c>
      <c r="AC73" s="2"/>
    </row>
    <row r="74" spans="1:29" x14ac:dyDescent="0.35">
      <c r="A74" s="1" t="s">
        <v>27</v>
      </c>
      <c r="B74" s="1" t="s">
        <v>28</v>
      </c>
      <c r="C74" s="1" t="s">
        <v>29</v>
      </c>
      <c r="D74" s="1" t="s">
        <v>30</v>
      </c>
      <c r="E74" s="1" t="s">
        <v>31</v>
      </c>
      <c r="F74" s="1" t="s">
        <v>338</v>
      </c>
      <c r="G74" s="1" t="s">
        <v>53</v>
      </c>
      <c r="H74" s="1" t="s">
        <v>54</v>
      </c>
      <c r="I74" s="1" t="s">
        <v>86</v>
      </c>
      <c r="J74" s="1" t="s">
        <v>191</v>
      </c>
      <c r="K74" s="1" t="s">
        <v>464</v>
      </c>
      <c r="L74" s="1" t="s">
        <v>199</v>
      </c>
      <c r="M74" t="s">
        <v>1691</v>
      </c>
      <c r="N74" t="s">
        <v>1883</v>
      </c>
      <c r="O74" t="s">
        <v>1691</v>
      </c>
      <c r="P74" t="s">
        <v>1906</v>
      </c>
      <c r="Q74" s="1" t="s">
        <v>61</v>
      </c>
      <c r="R74" s="1" t="s">
        <v>452</v>
      </c>
      <c r="S74" s="1" t="s">
        <v>63</v>
      </c>
      <c r="T74" s="1" t="s">
        <v>63</v>
      </c>
      <c r="U74" s="1" t="s">
        <v>40</v>
      </c>
      <c r="V74" s="1" t="s">
        <v>41</v>
      </c>
      <c r="W74" s="1" t="s">
        <v>467</v>
      </c>
      <c r="X74" s="1" t="s">
        <v>468</v>
      </c>
      <c r="Y74" s="1" t="s">
        <v>44</v>
      </c>
      <c r="Z74" s="1" t="b">
        <v>1</v>
      </c>
      <c r="AA74" s="1"/>
      <c r="AB74" s="1" t="s">
        <v>45</v>
      </c>
      <c r="AC74" s="1"/>
    </row>
    <row r="75" spans="1:29" x14ac:dyDescent="0.35">
      <c r="A75" s="2" t="s">
        <v>27</v>
      </c>
      <c r="B75" s="2" t="s">
        <v>28</v>
      </c>
      <c r="C75" s="2" t="s">
        <v>29</v>
      </c>
      <c r="D75" s="2" t="s">
        <v>30</v>
      </c>
      <c r="E75" s="2" t="s">
        <v>31</v>
      </c>
      <c r="F75" s="2" t="s">
        <v>338</v>
      </c>
      <c r="G75" s="2" t="s">
        <v>53</v>
      </c>
      <c r="H75" s="2" t="s">
        <v>54</v>
      </c>
      <c r="I75" s="2" t="s">
        <v>86</v>
      </c>
      <c r="J75" s="2" t="s">
        <v>191</v>
      </c>
      <c r="K75" s="2" t="s">
        <v>455</v>
      </c>
      <c r="L75" s="2" t="s">
        <v>199</v>
      </c>
      <c r="M75" t="s">
        <v>1692</v>
      </c>
      <c r="N75" t="s">
        <v>1883</v>
      </c>
      <c r="O75" t="s">
        <v>1692</v>
      </c>
      <c r="P75" t="s">
        <v>1907</v>
      </c>
      <c r="Q75" s="2" t="s">
        <v>61</v>
      </c>
      <c r="R75" s="2" t="s">
        <v>452</v>
      </c>
      <c r="S75" s="2" t="s">
        <v>63</v>
      </c>
      <c r="T75" s="2" t="s">
        <v>63</v>
      </c>
      <c r="U75" s="2" t="s">
        <v>40</v>
      </c>
      <c r="V75" s="2" t="s">
        <v>41</v>
      </c>
      <c r="W75" s="2" t="s">
        <v>471</v>
      </c>
      <c r="X75" s="2" t="s">
        <v>472</v>
      </c>
      <c r="Y75" s="2" t="s">
        <v>44</v>
      </c>
      <c r="Z75" s="2" t="b">
        <v>1</v>
      </c>
      <c r="AA75" s="2"/>
      <c r="AB75" s="2" t="s">
        <v>45</v>
      </c>
      <c r="AC75" s="2"/>
    </row>
    <row r="76" spans="1:29" x14ac:dyDescent="0.35">
      <c r="A76" s="1" t="s">
        <v>27</v>
      </c>
      <c r="B76" s="1" t="s">
        <v>28</v>
      </c>
      <c r="C76" s="1" t="s">
        <v>29</v>
      </c>
      <c r="D76" s="1" t="s">
        <v>30</v>
      </c>
      <c r="E76" s="1" t="s">
        <v>31</v>
      </c>
      <c r="F76" s="1" t="s">
        <v>338</v>
      </c>
      <c r="G76" s="1" t="s">
        <v>53</v>
      </c>
      <c r="H76" s="1" t="s">
        <v>54</v>
      </c>
      <c r="I76" s="1" t="s">
        <v>86</v>
      </c>
      <c r="J76" s="1" t="s">
        <v>191</v>
      </c>
      <c r="K76" s="1" t="s">
        <v>449</v>
      </c>
      <c r="L76" s="1" t="s">
        <v>199</v>
      </c>
      <c r="M76" t="s">
        <v>1693</v>
      </c>
      <c r="N76" t="s">
        <v>1883</v>
      </c>
      <c r="O76" t="s">
        <v>1693</v>
      </c>
      <c r="P76" t="s">
        <v>1908</v>
      </c>
      <c r="Q76" s="1" t="s">
        <v>61</v>
      </c>
      <c r="R76" s="1" t="s">
        <v>452</v>
      </c>
      <c r="S76" s="1" t="s">
        <v>63</v>
      </c>
      <c r="T76" s="1" t="s">
        <v>63</v>
      </c>
      <c r="U76" s="1" t="s">
        <v>40</v>
      </c>
      <c r="V76" s="1" t="s">
        <v>41</v>
      </c>
      <c r="W76" s="1" t="s">
        <v>475</v>
      </c>
      <c r="X76" s="1" t="s">
        <v>476</v>
      </c>
      <c r="Y76" s="1" t="s">
        <v>44</v>
      </c>
      <c r="Z76" s="1" t="b">
        <v>1</v>
      </c>
      <c r="AA76" s="1"/>
      <c r="AB76" s="1" t="s">
        <v>45</v>
      </c>
      <c r="AC76" s="1"/>
    </row>
    <row r="77" spans="1:29" x14ac:dyDescent="0.35">
      <c r="A77" s="2" t="s">
        <v>27</v>
      </c>
      <c r="B77" s="2" t="s">
        <v>28</v>
      </c>
      <c r="C77" s="2" t="s">
        <v>29</v>
      </c>
      <c r="D77" s="2" t="s">
        <v>30</v>
      </c>
      <c r="E77" s="2" t="s">
        <v>31</v>
      </c>
      <c r="F77" s="2" t="s">
        <v>338</v>
      </c>
      <c r="G77" s="2" t="s">
        <v>53</v>
      </c>
      <c r="H77" s="2" t="s">
        <v>54</v>
      </c>
      <c r="I77" s="2" t="s">
        <v>86</v>
      </c>
      <c r="J77" s="2" t="s">
        <v>212</v>
      </c>
      <c r="K77" s="2" t="s">
        <v>477</v>
      </c>
      <c r="L77" s="2" t="s">
        <v>214</v>
      </c>
      <c r="M77" t="s">
        <v>1694</v>
      </c>
      <c r="N77" t="s">
        <v>1883</v>
      </c>
      <c r="O77" t="s">
        <v>1694</v>
      </c>
      <c r="P77" t="s">
        <v>1909</v>
      </c>
      <c r="Q77" s="2" t="s">
        <v>61</v>
      </c>
      <c r="R77" s="2" t="s">
        <v>223</v>
      </c>
      <c r="S77" s="2" t="s">
        <v>63</v>
      </c>
      <c r="T77" s="2" t="s">
        <v>63</v>
      </c>
      <c r="U77" s="2" t="s">
        <v>40</v>
      </c>
      <c r="V77" s="2" t="s">
        <v>41</v>
      </c>
      <c r="W77" s="2" t="s">
        <v>480</v>
      </c>
      <c r="X77" s="2" t="s">
        <v>481</v>
      </c>
      <c r="Y77" s="2" t="s">
        <v>44</v>
      </c>
      <c r="Z77" s="2" t="b">
        <v>1</v>
      </c>
      <c r="AA77" s="2"/>
      <c r="AB77" s="2" t="s">
        <v>45</v>
      </c>
      <c r="AC77" s="2"/>
    </row>
    <row r="78" spans="1:29" x14ac:dyDescent="0.35">
      <c r="A78" s="1" t="s">
        <v>27</v>
      </c>
      <c r="B78" s="1" t="s">
        <v>28</v>
      </c>
      <c r="C78" s="1" t="s">
        <v>29</v>
      </c>
      <c r="D78" s="1" t="s">
        <v>30</v>
      </c>
      <c r="E78" s="1" t="s">
        <v>31</v>
      </c>
      <c r="F78" s="1" t="s">
        <v>338</v>
      </c>
      <c r="G78" s="1" t="s">
        <v>53</v>
      </c>
      <c r="H78" s="1" t="s">
        <v>54</v>
      </c>
      <c r="I78" s="1" t="s">
        <v>86</v>
      </c>
      <c r="J78" s="1" t="s">
        <v>212</v>
      </c>
      <c r="K78" s="1" t="s">
        <v>482</v>
      </c>
      <c r="L78" s="1" t="s">
        <v>244</v>
      </c>
      <c r="M78" t="s">
        <v>1679</v>
      </c>
      <c r="N78" t="s">
        <v>1883</v>
      </c>
      <c r="O78" t="s">
        <v>1679</v>
      </c>
      <c r="P78" t="s">
        <v>1910</v>
      </c>
      <c r="Q78" s="1" t="s">
        <v>217</v>
      </c>
      <c r="R78" s="1" t="s">
        <v>248</v>
      </c>
      <c r="S78" s="1" t="s">
        <v>63</v>
      </c>
      <c r="T78" s="1" t="s">
        <v>63</v>
      </c>
      <c r="U78" s="1" t="s">
        <v>40</v>
      </c>
      <c r="V78" s="1" t="s">
        <v>41</v>
      </c>
      <c r="W78" s="1" t="s">
        <v>485</v>
      </c>
      <c r="X78" s="1" t="s">
        <v>486</v>
      </c>
      <c r="Y78" s="1" t="s">
        <v>44</v>
      </c>
      <c r="Z78" s="1" t="b">
        <v>1</v>
      </c>
      <c r="AA78" s="1"/>
      <c r="AB78" s="1" t="s">
        <v>45</v>
      </c>
      <c r="AC78" s="1"/>
    </row>
    <row r="79" spans="1:29" x14ac:dyDescent="0.35">
      <c r="A79" s="2" t="s">
        <v>27</v>
      </c>
      <c r="B79" s="2" t="s">
        <v>28</v>
      </c>
      <c r="C79" s="2" t="s">
        <v>29</v>
      </c>
      <c r="D79" s="2" t="s">
        <v>30</v>
      </c>
      <c r="E79" s="2" t="s">
        <v>31</v>
      </c>
      <c r="F79" s="2" t="s">
        <v>338</v>
      </c>
      <c r="G79" s="2" t="s">
        <v>53</v>
      </c>
      <c r="H79" s="2" t="s">
        <v>54</v>
      </c>
      <c r="I79" s="2" t="s">
        <v>86</v>
      </c>
      <c r="J79" s="2" t="s">
        <v>212</v>
      </c>
      <c r="K79" s="2" t="s">
        <v>487</v>
      </c>
      <c r="L79" s="2" t="s">
        <v>244</v>
      </c>
      <c r="M79" t="s">
        <v>1680</v>
      </c>
      <c r="N79" t="s">
        <v>1883</v>
      </c>
      <c r="O79" t="s">
        <v>1680</v>
      </c>
      <c r="P79" t="s">
        <v>1911</v>
      </c>
      <c r="Q79" s="2" t="s">
        <v>217</v>
      </c>
      <c r="R79" s="2" t="s">
        <v>248</v>
      </c>
      <c r="S79" s="2" t="s">
        <v>63</v>
      </c>
      <c r="T79" s="2" t="s">
        <v>63</v>
      </c>
      <c r="U79" s="2" t="s">
        <v>40</v>
      </c>
      <c r="V79" s="2" t="s">
        <v>41</v>
      </c>
      <c r="W79" s="2" t="s">
        <v>490</v>
      </c>
      <c r="X79" s="2" t="s">
        <v>491</v>
      </c>
      <c r="Y79" s="2" t="s">
        <v>44</v>
      </c>
      <c r="Z79" s="2" t="b">
        <v>1</v>
      </c>
      <c r="AA79" s="2"/>
      <c r="AB79" s="2" t="s">
        <v>45</v>
      </c>
      <c r="AC79" s="2"/>
    </row>
    <row r="80" spans="1:29" x14ac:dyDescent="0.35">
      <c r="A80" s="1" t="s">
        <v>27</v>
      </c>
      <c r="B80" s="1" t="s">
        <v>28</v>
      </c>
      <c r="C80" s="1" t="s">
        <v>29</v>
      </c>
      <c r="D80" s="1" t="s">
        <v>30</v>
      </c>
      <c r="E80" s="1" t="s">
        <v>31</v>
      </c>
      <c r="F80" s="1" t="s">
        <v>338</v>
      </c>
      <c r="G80" s="1" t="s">
        <v>53</v>
      </c>
      <c r="H80" s="1" t="s">
        <v>54</v>
      </c>
      <c r="I80" s="1" t="s">
        <v>86</v>
      </c>
      <c r="J80" s="1" t="s">
        <v>212</v>
      </c>
      <c r="K80" s="1" t="s">
        <v>492</v>
      </c>
      <c r="L80" s="1" t="s">
        <v>244</v>
      </c>
      <c r="M80" t="s">
        <v>1681</v>
      </c>
      <c r="N80" t="s">
        <v>1883</v>
      </c>
      <c r="O80" t="s">
        <v>1681</v>
      </c>
      <c r="P80" t="s">
        <v>1912</v>
      </c>
      <c r="Q80" s="1" t="s">
        <v>247</v>
      </c>
      <c r="R80" s="1" t="s">
        <v>248</v>
      </c>
      <c r="S80" s="1" t="s">
        <v>63</v>
      </c>
      <c r="T80" s="1" t="s">
        <v>63</v>
      </c>
      <c r="U80" s="1" t="s">
        <v>40</v>
      </c>
      <c r="V80" s="1" t="s">
        <v>41</v>
      </c>
      <c r="W80" s="1" t="s">
        <v>495</v>
      </c>
      <c r="X80" s="1" t="s">
        <v>496</v>
      </c>
      <c r="Y80" s="1" t="s">
        <v>44</v>
      </c>
      <c r="Z80" s="1" t="b">
        <v>1</v>
      </c>
      <c r="AA80" s="1"/>
      <c r="AB80" s="1" t="s">
        <v>45</v>
      </c>
      <c r="AC80" s="1"/>
    </row>
    <row r="81" spans="1:29" x14ac:dyDescent="0.35">
      <c r="A81" s="2" t="s">
        <v>27</v>
      </c>
      <c r="B81" s="2" t="s">
        <v>28</v>
      </c>
      <c r="C81" s="2" t="s">
        <v>29</v>
      </c>
      <c r="D81" s="2" t="s">
        <v>30</v>
      </c>
      <c r="E81" s="2" t="s">
        <v>31</v>
      </c>
      <c r="F81" s="2" t="s">
        <v>338</v>
      </c>
      <c r="G81" s="2" t="s">
        <v>53</v>
      </c>
      <c r="H81" s="2" t="s">
        <v>54</v>
      </c>
      <c r="I81" s="2" t="s">
        <v>86</v>
      </c>
      <c r="J81" s="2" t="s">
        <v>212</v>
      </c>
      <c r="K81" s="2" t="s">
        <v>497</v>
      </c>
      <c r="L81" s="2" t="s">
        <v>244</v>
      </c>
      <c r="M81" t="s">
        <v>1682</v>
      </c>
      <c r="N81" t="s">
        <v>1883</v>
      </c>
      <c r="O81" t="s">
        <v>1682</v>
      </c>
      <c r="P81" t="s">
        <v>1913</v>
      </c>
      <c r="Q81" s="2" t="s">
        <v>61</v>
      </c>
      <c r="R81" s="2" t="s">
        <v>62</v>
      </c>
      <c r="S81" s="2" t="s">
        <v>63</v>
      </c>
      <c r="T81" s="2" t="s">
        <v>63</v>
      </c>
      <c r="U81" s="2" t="s">
        <v>40</v>
      </c>
      <c r="V81" s="2" t="s">
        <v>41</v>
      </c>
      <c r="W81" s="2" t="s">
        <v>500</v>
      </c>
      <c r="X81" s="2" t="s">
        <v>501</v>
      </c>
      <c r="Y81" s="2" t="s">
        <v>44</v>
      </c>
      <c r="Z81" s="2" t="b">
        <v>1</v>
      </c>
      <c r="AA81" s="2"/>
      <c r="AB81" s="2" t="s">
        <v>45</v>
      </c>
      <c r="AC81" s="2"/>
    </row>
    <row r="82" spans="1:29" x14ac:dyDescent="0.35">
      <c r="A82" s="1" t="s">
        <v>27</v>
      </c>
      <c r="B82" s="1" t="s">
        <v>28</v>
      </c>
      <c r="C82" s="1" t="s">
        <v>29</v>
      </c>
      <c r="D82" s="1" t="s">
        <v>30</v>
      </c>
      <c r="E82" s="1" t="s">
        <v>31</v>
      </c>
      <c r="F82" s="1" t="s">
        <v>338</v>
      </c>
      <c r="G82" s="1" t="s">
        <v>53</v>
      </c>
      <c r="H82" s="1" t="s">
        <v>54</v>
      </c>
      <c r="I82" s="1" t="s">
        <v>86</v>
      </c>
      <c r="J82" s="1" t="s">
        <v>212</v>
      </c>
      <c r="K82" s="1" t="s">
        <v>502</v>
      </c>
      <c r="L82" s="1" t="s">
        <v>244</v>
      </c>
      <c r="M82" t="s">
        <v>1687</v>
      </c>
      <c r="N82" t="s">
        <v>1883</v>
      </c>
      <c r="O82" t="s">
        <v>1687</v>
      </c>
      <c r="P82" t="s">
        <v>1914</v>
      </c>
      <c r="Q82" s="1" t="s">
        <v>505</v>
      </c>
      <c r="R82" s="1" t="s">
        <v>248</v>
      </c>
      <c r="S82" s="1" t="s">
        <v>63</v>
      </c>
      <c r="T82" s="1" t="s">
        <v>63</v>
      </c>
      <c r="U82" s="1" t="s">
        <v>40</v>
      </c>
      <c r="V82" s="1" t="s">
        <v>41</v>
      </c>
      <c r="W82" s="1" t="s">
        <v>506</v>
      </c>
      <c r="X82" s="1" t="s">
        <v>507</v>
      </c>
      <c r="Y82" s="1" t="s">
        <v>44</v>
      </c>
      <c r="Z82" s="1" t="b">
        <v>1</v>
      </c>
      <c r="AA82" s="1"/>
      <c r="AB82" s="1" t="s">
        <v>45</v>
      </c>
      <c r="AC82" s="1"/>
    </row>
    <row r="83" spans="1:29" x14ac:dyDescent="0.35">
      <c r="A83" s="2" t="s">
        <v>27</v>
      </c>
      <c r="B83" s="2" t="s">
        <v>28</v>
      </c>
      <c r="C83" s="2" t="s">
        <v>29</v>
      </c>
      <c r="D83" s="2" t="s">
        <v>30</v>
      </c>
      <c r="E83" s="2" t="s">
        <v>31</v>
      </c>
      <c r="F83" s="2" t="s">
        <v>338</v>
      </c>
      <c r="G83" s="2" t="s">
        <v>53</v>
      </c>
      <c r="H83" s="2" t="s">
        <v>54</v>
      </c>
      <c r="I83" s="2" t="s">
        <v>86</v>
      </c>
      <c r="J83" s="2" t="s">
        <v>212</v>
      </c>
      <c r="K83" s="2" t="s">
        <v>508</v>
      </c>
      <c r="L83" s="2" t="s">
        <v>244</v>
      </c>
      <c r="M83" t="s">
        <v>1688</v>
      </c>
      <c r="N83" t="s">
        <v>1883</v>
      </c>
      <c r="O83" t="s">
        <v>1688</v>
      </c>
      <c r="P83" t="s">
        <v>1915</v>
      </c>
      <c r="Q83" s="2" t="s">
        <v>217</v>
      </c>
      <c r="R83" s="2" t="s">
        <v>61</v>
      </c>
      <c r="S83" s="2" t="s">
        <v>63</v>
      </c>
      <c r="T83" s="2" t="s">
        <v>63</v>
      </c>
      <c r="U83" s="2" t="s">
        <v>40</v>
      </c>
      <c r="V83" s="2" t="s">
        <v>41</v>
      </c>
      <c r="W83" s="2" t="s">
        <v>511</v>
      </c>
      <c r="X83" s="2" t="s">
        <v>512</v>
      </c>
      <c r="Y83" s="2" t="s">
        <v>44</v>
      </c>
      <c r="Z83" s="2" t="b">
        <v>1</v>
      </c>
      <c r="AA83" s="2"/>
      <c r="AB83" s="2" t="s">
        <v>45</v>
      </c>
      <c r="AC83" s="2"/>
    </row>
    <row r="84" spans="1:29" x14ac:dyDescent="0.35">
      <c r="A84" s="1" t="s">
        <v>27</v>
      </c>
      <c r="B84" s="1" t="s">
        <v>28</v>
      </c>
      <c r="C84" s="1" t="s">
        <v>29</v>
      </c>
      <c r="D84" s="1" t="s">
        <v>30</v>
      </c>
      <c r="E84" s="1" t="s">
        <v>31</v>
      </c>
      <c r="F84" s="1" t="s">
        <v>338</v>
      </c>
      <c r="G84" s="1" t="s">
        <v>53</v>
      </c>
      <c r="H84" s="1" t="s">
        <v>54</v>
      </c>
      <c r="I84" s="1" t="s">
        <v>86</v>
      </c>
      <c r="J84" s="1" t="s">
        <v>212</v>
      </c>
      <c r="K84" s="1" t="s">
        <v>513</v>
      </c>
      <c r="L84" s="1" t="s">
        <v>232</v>
      </c>
      <c r="M84" t="s">
        <v>1689</v>
      </c>
      <c r="N84" t="s">
        <v>1883</v>
      </c>
      <c r="O84" t="s">
        <v>1689</v>
      </c>
      <c r="P84" t="s">
        <v>1916</v>
      </c>
      <c r="Q84" s="1" t="s">
        <v>61</v>
      </c>
      <c r="R84" s="1" t="s">
        <v>235</v>
      </c>
      <c r="S84" s="1" t="s">
        <v>63</v>
      </c>
      <c r="T84" s="1" t="s">
        <v>63</v>
      </c>
      <c r="U84" s="1" t="s">
        <v>40</v>
      </c>
      <c r="V84" s="1" t="s">
        <v>41</v>
      </c>
      <c r="W84" s="1" t="s">
        <v>516</v>
      </c>
      <c r="X84" s="1" t="s">
        <v>517</v>
      </c>
      <c r="Y84" s="1" t="s">
        <v>44</v>
      </c>
      <c r="Z84" s="1" t="b">
        <v>1</v>
      </c>
      <c r="AA84" s="1"/>
      <c r="AB84" s="1" t="s">
        <v>45</v>
      </c>
      <c r="AC84" s="1"/>
    </row>
    <row r="85" spans="1:29" x14ac:dyDescent="0.35">
      <c r="A85" s="2" t="s">
        <v>27</v>
      </c>
      <c r="B85" s="2" t="s">
        <v>28</v>
      </c>
      <c r="C85" s="2" t="s">
        <v>29</v>
      </c>
      <c r="D85" s="2" t="s">
        <v>30</v>
      </c>
      <c r="E85" s="2" t="s">
        <v>31</v>
      </c>
      <c r="F85" s="2" t="s">
        <v>338</v>
      </c>
      <c r="G85" s="2" t="s">
        <v>53</v>
      </c>
      <c r="H85" s="2" t="s">
        <v>54</v>
      </c>
      <c r="I85" s="2" t="s">
        <v>86</v>
      </c>
      <c r="J85" s="2" t="s">
        <v>212</v>
      </c>
      <c r="K85" s="2" t="s">
        <v>518</v>
      </c>
      <c r="L85" s="2" t="s">
        <v>232</v>
      </c>
      <c r="M85" t="s">
        <v>1690</v>
      </c>
      <c r="N85" t="s">
        <v>1883</v>
      </c>
      <c r="O85" t="s">
        <v>1690</v>
      </c>
      <c r="P85" t="s">
        <v>1917</v>
      </c>
      <c r="Q85" s="2" t="s">
        <v>61</v>
      </c>
      <c r="R85" s="2" t="s">
        <v>235</v>
      </c>
      <c r="S85" s="2" t="s">
        <v>63</v>
      </c>
      <c r="T85" s="2" t="s">
        <v>63</v>
      </c>
      <c r="U85" s="2" t="s">
        <v>40</v>
      </c>
      <c r="V85" s="2" t="s">
        <v>41</v>
      </c>
      <c r="W85" s="2" t="s">
        <v>521</v>
      </c>
      <c r="X85" s="2" t="s">
        <v>522</v>
      </c>
      <c r="Y85" s="2" t="s">
        <v>44</v>
      </c>
      <c r="Z85" s="2" t="b">
        <v>1</v>
      </c>
      <c r="AA85" s="2"/>
      <c r="AB85" s="2" t="s">
        <v>45</v>
      </c>
      <c r="AC85" s="2"/>
    </row>
    <row r="86" spans="1:29" x14ac:dyDescent="0.35">
      <c r="A86" s="1" t="s">
        <v>27</v>
      </c>
      <c r="B86" s="1" t="s">
        <v>28</v>
      </c>
      <c r="C86" s="1" t="s">
        <v>29</v>
      </c>
      <c r="D86" s="1" t="s">
        <v>30</v>
      </c>
      <c r="E86" s="1" t="s">
        <v>31</v>
      </c>
      <c r="F86" s="1" t="s">
        <v>338</v>
      </c>
      <c r="G86" s="1" t="s">
        <v>53</v>
      </c>
      <c r="H86" s="1" t="s">
        <v>54</v>
      </c>
      <c r="I86" s="1" t="s">
        <v>86</v>
      </c>
      <c r="J86" s="1" t="s">
        <v>212</v>
      </c>
      <c r="K86" s="1" t="s">
        <v>523</v>
      </c>
      <c r="L86" s="1" t="s">
        <v>232</v>
      </c>
      <c r="M86" t="s">
        <v>1699</v>
      </c>
      <c r="N86" t="s">
        <v>1883</v>
      </c>
      <c r="O86" t="s">
        <v>1699</v>
      </c>
      <c r="P86" t="s">
        <v>1918</v>
      </c>
      <c r="Q86" s="1" t="s">
        <v>61</v>
      </c>
      <c r="R86" s="1" t="s">
        <v>235</v>
      </c>
      <c r="S86" s="1" t="s">
        <v>63</v>
      </c>
      <c r="T86" s="1" t="s">
        <v>63</v>
      </c>
      <c r="U86" s="1" t="s">
        <v>40</v>
      </c>
      <c r="V86" s="1" t="s">
        <v>41</v>
      </c>
      <c r="W86" s="1" t="s">
        <v>526</v>
      </c>
      <c r="X86" s="1" t="s">
        <v>527</v>
      </c>
      <c r="Y86" s="1" t="s">
        <v>44</v>
      </c>
      <c r="Z86" s="1" t="b">
        <v>1</v>
      </c>
      <c r="AA86" s="1"/>
      <c r="AB86" s="1" t="s">
        <v>45</v>
      </c>
      <c r="AC86" s="1"/>
    </row>
    <row r="87" spans="1:29" x14ac:dyDescent="0.35">
      <c r="A87" s="2" t="s">
        <v>27</v>
      </c>
      <c r="B87" s="2" t="s">
        <v>28</v>
      </c>
      <c r="C87" s="2" t="s">
        <v>29</v>
      </c>
      <c r="D87" s="2" t="s">
        <v>30</v>
      </c>
      <c r="E87" s="2" t="s">
        <v>31</v>
      </c>
      <c r="F87" s="2" t="s">
        <v>338</v>
      </c>
      <c r="G87" s="2" t="s">
        <v>53</v>
      </c>
      <c r="H87" s="2" t="s">
        <v>54</v>
      </c>
      <c r="I87" s="2" t="s">
        <v>55</v>
      </c>
      <c r="J87" s="2" t="s">
        <v>272</v>
      </c>
      <c r="K87" s="2" t="s">
        <v>528</v>
      </c>
      <c r="L87" s="2" t="s">
        <v>274</v>
      </c>
      <c r="M87" t="s">
        <v>1700</v>
      </c>
      <c r="N87" t="s">
        <v>1883</v>
      </c>
      <c r="O87" t="s">
        <v>1700</v>
      </c>
      <c r="P87" t="s">
        <v>1919</v>
      </c>
      <c r="Q87" s="2" t="s">
        <v>61</v>
      </c>
      <c r="R87" s="2" t="s">
        <v>531</v>
      </c>
      <c r="S87" s="2" t="s">
        <v>63</v>
      </c>
      <c r="T87" s="2" t="s">
        <v>63</v>
      </c>
      <c r="U87" s="2" t="s">
        <v>40</v>
      </c>
      <c r="V87" s="2" t="s">
        <v>41</v>
      </c>
      <c r="W87" s="2" t="s">
        <v>532</v>
      </c>
      <c r="X87" s="2" t="s">
        <v>533</v>
      </c>
      <c r="Y87" s="2" t="s">
        <v>44</v>
      </c>
      <c r="Z87" s="2" t="b">
        <v>1</v>
      </c>
      <c r="AA87" s="2"/>
      <c r="AB87" s="2" t="s">
        <v>45</v>
      </c>
      <c r="AC87" s="2"/>
    </row>
    <row r="88" spans="1:29" x14ac:dyDescent="0.35">
      <c r="A88" s="1" t="s">
        <v>27</v>
      </c>
      <c r="B88" s="1" t="s">
        <v>28</v>
      </c>
      <c r="C88" s="1" t="s">
        <v>29</v>
      </c>
      <c r="D88" s="1" t="s">
        <v>30</v>
      </c>
      <c r="E88" s="1" t="s">
        <v>31</v>
      </c>
      <c r="F88" s="1" t="s">
        <v>338</v>
      </c>
      <c r="G88" s="1" t="s">
        <v>53</v>
      </c>
      <c r="H88" s="1" t="s">
        <v>54</v>
      </c>
      <c r="I88" s="1" t="s">
        <v>55</v>
      </c>
      <c r="J88" s="1" t="s">
        <v>272</v>
      </c>
      <c r="K88" s="1" t="s">
        <v>534</v>
      </c>
      <c r="L88" s="1" t="s">
        <v>274</v>
      </c>
      <c r="M88" t="s">
        <v>1701</v>
      </c>
      <c r="N88" t="s">
        <v>1883</v>
      </c>
      <c r="O88" t="s">
        <v>1701</v>
      </c>
      <c r="P88" t="s">
        <v>1920</v>
      </c>
      <c r="Q88" s="1" t="s">
        <v>61</v>
      </c>
      <c r="R88" s="1" t="s">
        <v>277</v>
      </c>
      <c r="S88" s="1" t="s">
        <v>63</v>
      </c>
      <c r="T88" s="1" t="s">
        <v>63</v>
      </c>
      <c r="U88" s="1" t="s">
        <v>40</v>
      </c>
      <c r="V88" s="1" t="s">
        <v>41</v>
      </c>
      <c r="W88" s="1" t="s">
        <v>537</v>
      </c>
      <c r="X88" s="1" t="s">
        <v>538</v>
      </c>
      <c r="Y88" s="1" t="s">
        <v>44</v>
      </c>
      <c r="Z88" s="1" t="b">
        <v>1</v>
      </c>
      <c r="AA88" s="1"/>
      <c r="AB88" s="1" t="s">
        <v>45</v>
      </c>
      <c r="AC88" s="1"/>
    </row>
    <row r="89" spans="1:29" x14ac:dyDescent="0.35">
      <c r="A89" s="2" t="s">
        <v>27</v>
      </c>
      <c r="B89" s="2" t="s">
        <v>28</v>
      </c>
      <c r="C89" s="2" t="s">
        <v>29</v>
      </c>
      <c r="D89" s="2" t="s">
        <v>30</v>
      </c>
      <c r="E89" s="2" t="s">
        <v>31</v>
      </c>
      <c r="F89" s="2" t="s">
        <v>338</v>
      </c>
      <c r="G89" s="2" t="s">
        <v>53</v>
      </c>
      <c r="H89" s="2" t="s">
        <v>54</v>
      </c>
      <c r="I89" s="2" t="s">
        <v>86</v>
      </c>
      <c r="J89" s="2" t="s">
        <v>272</v>
      </c>
      <c r="K89" s="2" t="s">
        <v>539</v>
      </c>
      <c r="L89" s="2" t="s">
        <v>274</v>
      </c>
      <c r="M89" t="s">
        <v>1702</v>
      </c>
      <c r="N89" t="s">
        <v>1883</v>
      </c>
      <c r="O89" t="s">
        <v>1702</v>
      </c>
      <c r="P89" t="s">
        <v>1921</v>
      </c>
      <c r="Q89" s="2" t="s">
        <v>61</v>
      </c>
      <c r="R89" s="2" t="s">
        <v>531</v>
      </c>
      <c r="S89" s="2" t="s">
        <v>63</v>
      </c>
      <c r="T89" s="2" t="s">
        <v>63</v>
      </c>
      <c r="U89" s="2" t="s">
        <v>40</v>
      </c>
      <c r="V89" s="2" t="s">
        <v>41</v>
      </c>
      <c r="W89" s="2" t="s">
        <v>542</v>
      </c>
      <c r="X89" s="2" t="s">
        <v>543</v>
      </c>
      <c r="Y89" s="2" t="s">
        <v>44</v>
      </c>
      <c r="Z89" s="2" t="b">
        <v>1</v>
      </c>
      <c r="AA89" s="2"/>
      <c r="AB89" s="2" t="s">
        <v>45</v>
      </c>
      <c r="AC89" s="2"/>
    </row>
    <row r="90" spans="1:29" x14ac:dyDescent="0.35">
      <c r="A90" s="1" t="s">
        <v>27</v>
      </c>
      <c r="B90" s="1" t="s">
        <v>28</v>
      </c>
      <c r="C90" s="1" t="s">
        <v>29</v>
      </c>
      <c r="D90" s="1" t="s">
        <v>30</v>
      </c>
      <c r="E90" s="1" t="s">
        <v>31</v>
      </c>
      <c r="F90" s="1" t="s">
        <v>338</v>
      </c>
      <c r="G90" s="1" t="s">
        <v>53</v>
      </c>
      <c r="H90" s="1" t="s">
        <v>54</v>
      </c>
      <c r="I90" s="1" t="s">
        <v>86</v>
      </c>
      <c r="J90" s="1" t="s">
        <v>272</v>
      </c>
      <c r="K90" s="1" t="s">
        <v>544</v>
      </c>
      <c r="L90" s="1" t="s">
        <v>274</v>
      </c>
      <c r="M90" t="s">
        <v>1683</v>
      </c>
      <c r="N90" t="s">
        <v>1883</v>
      </c>
      <c r="O90" t="s">
        <v>1683</v>
      </c>
      <c r="P90" t="s">
        <v>1922</v>
      </c>
      <c r="Q90" s="1" t="s">
        <v>61</v>
      </c>
      <c r="R90" s="1" t="s">
        <v>277</v>
      </c>
      <c r="S90" s="1" t="s">
        <v>63</v>
      </c>
      <c r="T90" s="1" t="s">
        <v>63</v>
      </c>
      <c r="U90" s="1" t="s">
        <v>40</v>
      </c>
      <c r="V90" s="1" t="s">
        <v>41</v>
      </c>
      <c r="W90" s="1" t="s">
        <v>547</v>
      </c>
      <c r="X90" s="1" t="s">
        <v>548</v>
      </c>
      <c r="Y90" s="1" t="s">
        <v>44</v>
      </c>
      <c r="Z90" s="1" t="b">
        <v>1</v>
      </c>
      <c r="AA90" s="1"/>
      <c r="AB90" s="1" t="s">
        <v>45</v>
      </c>
      <c r="AC90" s="1"/>
    </row>
    <row r="91" spans="1:29" x14ac:dyDescent="0.35">
      <c r="A91" s="2" t="s">
        <v>27</v>
      </c>
      <c r="B91" s="2" t="s">
        <v>28</v>
      </c>
      <c r="C91" s="2" t="s">
        <v>29</v>
      </c>
      <c r="D91" s="2">
        <v>1</v>
      </c>
      <c r="E91" s="2" t="s">
        <v>31</v>
      </c>
      <c r="F91" s="2" t="s">
        <v>338</v>
      </c>
      <c r="G91" s="2" t="s">
        <v>296</v>
      </c>
      <c r="H91" s="2" t="s">
        <v>297</v>
      </c>
      <c r="I91" s="2" t="s">
        <v>86</v>
      </c>
      <c r="J91" s="2" t="s">
        <v>298</v>
      </c>
      <c r="K91" s="2" t="s">
        <v>299</v>
      </c>
      <c r="L91" s="2" t="s">
        <v>193</v>
      </c>
      <c r="M91" t="s">
        <v>1684</v>
      </c>
      <c r="N91" t="s">
        <v>1883</v>
      </c>
      <c r="O91" t="s">
        <v>1684</v>
      </c>
      <c r="P91" t="s">
        <v>1923</v>
      </c>
      <c r="Q91" s="2"/>
      <c r="R91" s="2"/>
      <c r="S91" s="2"/>
      <c r="T91" s="2"/>
      <c r="U91" s="2">
        <v>60</v>
      </c>
      <c r="V91" s="2" t="s">
        <v>41</v>
      </c>
      <c r="W91" s="2" t="s">
        <v>447</v>
      </c>
      <c r="X91" s="2" t="s">
        <v>550</v>
      </c>
      <c r="Y91" s="2" t="s">
        <v>302</v>
      </c>
      <c r="Z91" s="2"/>
      <c r="AA91" s="2"/>
      <c r="AB91" s="2">
        <v>60000</v>
      </c>
      <c r="AC91" s="2"/>
    </row>
    <row r="92" spans="1:29" x14ac:dyDescent="0.35">
      <c r="A92" s="1" t="s">
        <v>27</v>
      </c>
      <c r="B92" s="1" t="s">
        <v>28</v>
      </c>
      <c r="C92" s="1" t="s">
        <v>29</v>
      </c>
      <c r="D92" s="1" t="s">
        <v>30</v>
      </c>
      <c r="E92" s="1" t="s">
        <v>31</v>
      </c>
      <c r="F92" s="1" t="s">
        <v>338</v>
      </c>
      <c r="G92" s="1" t="s">
        <v>33</v>
      </c>
      <c r="H92" s="1" t="s">
        <v>33</v>
      </c>
      <c r="I92" s="1" t="s">
        <v>86</v>
      </c>
      <c r="J92" s="1" t="s">
        <v>35</v>
      </c>
      <c r="K92" s="1"/>
      <c r="L92" s="1" t="s">
        <v>37</v>
      </c>
      <c r="M92" t="s">
        <v>1685</v>
      </c>
      <c r="N92" t="s">
        <v>1883</v>
      </c>
      <c r="O92" t="s">
        <v>1685</v>
      </c>
      <c r="P92" t="s">
        <v>1924</v>
      </c>
      <c r="Q92" s="1"/>
      <c r="R92" s="1"/>
      <c r="S92" s="1"/>
      <c r="T92" s="1"/>
      <c r="U92" s="1" t="s">
        <v>40</v>
      </c>
      <c r="V92" s="1" t="s">
        <v>41</v>
      </c>
      <c r="W92" s="1" t="s">
        <v>553</v>
      </c>
      <c r="X92" s="1" t="s">
        <v>554</v>
      </c>
      <c r="Y92" s="1" t="s">
        <v>44</v>
      </c>
      <c r="Z92" s="1"/>
      <c r="AA92" s="1"/>
      <c r="AB92" s="1" t="s">
        <v>45</v>
      </c>
      <c r="AC92" s="1"/>
    </row>
    <row r="93" spans="1:29" x14ac:dyDescent="0.35">
      <c r="A93" s="2" t="s">
        <v>27</v>
      </c>
      <c r="B93" s="2" t="s">
        <v>28</v>
      </c>
      <c r="C93" s="2" t="s">
        <v>29</v>
      </c>
      <c r="D93" s="2" t="s">
        <v>30</v>
      </c>
      <c r="E93" s="2" t="s">
        <v>31</v>
      </c>
      <c r="F93" s="2" t="s">
        <v>338</v>
      </c>
      <c r="G93" s="2" t="s">
        <v>33</v>
      </c>
      <c r="H93" s="2" t="s">
        <v>33</v>
      </c>
      <c r="I93" s="2" t="s">
        <v>34</v>
      </c>
      <c r="J93" s="2" t="s">
        <v>35</v>
      </c>
      <c r="K93" s="2" t="s">
        <v>555</v>
      </c>
      <c r="L93" s="2" t="s">
        <v>37</v>
      </c>
      <c r="M93" t="s">
        <v>1686</v>
      </c>
      <c r="N93" t="s">
        <v>1883</v>
      </c>
      <c r="O93" t="s">
        <v>1686</v>
      </c>
      <c r="P93" t="s">
        <v>1925</v>
      </c>
      <c r="Q93" s="2"/>
      <c r="R93" s="2"/>
      <c r="S93" s="2"/>
      <c r="T93" s="2"/>
      <c r="U93" s="2" t="s">
        <v>40</v>
      </c>
      <c r="V93" s="2" t="s">
        <v>41</v>
      </c>
      <c r="W93" s="2" t="s">
        <v>558</v>
      </c>
      <c r="X93" s="2" t="s">
        <v>559</v>
      </c>
      <c r="Y93" s="2" t="s">
        <v>44</v>
      </c>
      <c r="Z93" s="2"/>
      <c r="AA93" s="2"/>
      <c r="AB93" s="2" t="s">
        <v>45</v>
      </c>
      <c r="AC93" s="2"/>
    </row>
    <row r="94" spans="1:29" x14ac:dyDescent="0.35">
      <c r="A94" s="1" t="s">
        <v>27</v>
      </c>
      <c r="B94" s="1" t="s">
        <v>28</v>
      </c>
      <c r="C94" s="1" t="s">
        <v>29</v>
      </c>
      <c r="D94" s="1" t="s">
        <v>30</v>
      </c>
      <c r="E94" s="1" t="s">
        <v>31</v>
      </c>
      <c r="F94" s="1" t="s">
        <v>338</v>
      </c>
      <c r="G94" s="1" t="s">
        <v>33</v>
      </c>
      <c r="H94" s="1" t="s">
        <v>33</v>
      </c>
      <c r="I94" s="1" t="s">
        <v>86</v>
      </c>
      <c r="J94" s="1" t="s">
        <v>35</v>
      </c>
      <c r="K94" s="1" t="s">
        <v>560</v>
      </c>
      <c r="L94" s="1" t="s">
        <v>37</v>
      </c>
      <c r="M94" t="s">
        <v>1663</v>
      </c>
      <c r="N94" t="s">
        <v>1883</v>
      </c>
      <c r="O94" t="s">
        <v>1663</v>
      </c>
      <c r="P94" t="s">
        <v>1926</v>
      </c>
      <c r="Q94" s="1"/>
      <c r="R94" s="1"/>
      <c r="S94" s="1"/>
      <c r="T94" s="1"/>
      <c r="U94" s="1" t="s">
        <v>40</v>
      </c>
      <c r="V94" s="1" t="s">
        <v>41</v>
      </c>
      <c r="W94" s="1" t="s">
        <v>563</v>
      </c>
      <c r="X94" s="1" t="s">
        <v>564</v>
      </c>
      <c r="Y94" s="1" t="s">
        <v>44</v>
      </c>
      <c r="Z94" s="1"/>
      <c r="AA94" s="1"/>
      <c r="AB94" s="1" t="s">
        <v>45</v>
      </c>
      <c r="AC94" s="1"/>
    </row>
    <row r="95" spans="1:29" x14ac:dyDescent="0.35">
      <c r="A95" s="2" t="s">
        <v>27</v>
      </c>
      <c r="B95" s="2" t="s">
        <v>28</v>
      </c>
      <c r="C95" s="2" t="s">
        <v>29</v>
      </c>
      <c r="D95" s="2" t="s">
        <v>30</v>
      </c>
      <c r="E95" s="2" t="s">
        <v>31</v>
      </c>
      <c r="F95" s="2" t="s">
        <v>338</v>
      </c>
      <c r="G95" s="2" t="s">
        <v>33</v>
      </c>
      <c r="H95" s="2" t="s">
        <v>33</v>
      </c>
      <c r="I95" s="2" t="s">
        <v>86</v>
      </c>
      <c r="J95" s="2" t="s">
        <v>35</v>
      </c>
      <c r="K95" s="2" t="s">
        <v>565</v>
      </c>
      <c r="L95" s="2" t="s">
        <v>37</v>
      </c>
      <c r="M95" t="s">
        <v>1664</v>
      </c>
      <c r="N95" t="s">
        <v>1883</v>
      </c>
      <c r="O95" t="s">
        <v>1664</v>
      </c>
      <c r="P95" t="s">
        <v>1927</v>
      </c>
      <c r="Q95" s="2"/>
      <c r="R95" s="2"/>
      <c r="S95" s="2"/>
      <c r="T95" s="2"/>
      <c r="U95" s="2" t="s">
        <v>40</v>
      </c>
      <c r="V95" s="2" t="s">
        <v>41</v>
      </c>
      <c r="W95" s="2" t="s">
        <v>568</v>
      </c>
      <c r="X95" s="2" t="s">
        <v>569</v>
      </c>
      <c r="Y95" s="2" t="s">
        <v>44</v>
      </c>
      <c r="Z95" s="2"/>
      <c r="AA95" s="2"/>
      <c r="AB95" s="2" t="s">
        <v>45</v>
      </c>
      <c r="AC95" s="2"/>
    </row>
    <row r="96" spans="1:29" x14ac:dyDescent="0.35">
      <c r="A96" s="1" t="s">
        <v>27</v>
      </c>
      <c r="B96" s="1" t="s">
        <v>28</v>
      </c>
      <c r="C96" s="1" t="s">
        <v>29</v>
      </c>
      <c r="D96" s="1" t="s">
        <v>30</v>
      </c>
      <c r="E96" s="1" t="s">
        <v>31</v>
      </c>
      <c r="F96" s="1" t="s">
        <v>338</v>
      </c>
      <c r="G96" s="1" t="s">
        <v>33</v>
      </c>
      <c r="H96" s="1" t="s">
        <v>33</v>
      </c>
      <c r="I96" s="1" t="s">
        <v>86</v>
      </c>
      <c r="J96" s="1" t="s">
        <v>35</v>
      </c>
      <c r="K96" s="1" t="s">
        <v>570</v>
      </c>
      <c r="L96" s="1" t="s">
        <v>37</v>
      </c>
      <c r="M96" t="s">
        <v>1665</v>
      </c>
      <c r="N96" t="s">
        <v>1883</v>
      </c>
      <c r="O96" t="s">
        <v>1665</v>
      </c>
      <c r="P96" t="s">
        <v>1928</v>
      </c>
      <c r="Q96" s="1"/>
      <c r="R96" s="1"/>
      <c r="S96" s="1"/>
      <c r="T96" s="1"/>
      <c r="U96" s="1" t="s">
        <v>40</v>
      </c>
      <c r="V96" s="1" t="s">
        <v>41</v>
      </c>
      <c r="W96" s="1" t="s">
        <v>573</v>
      </c>
      <c r="X96" s="1" t="s">
        <v>574</v>
      </c>
      <c r="Y96" s="1" t="s">
        <v>44</v>
      </c>
      <c r="Z96" s="1"/>
      <c r="AA96" s="1"/>
      <c r="AB96" s="1" t="s">
        <v>45</v>
      </c>
      <c r="AC96" s="1"/>
    </row>
    <row r="97" spans="1:29" x14ac:dyDescent="0.35">
      <c r="A97" s="2" t="s">
        <v>27</v>
      </c>
      <c r="B97" s="2" t="s">
        <v>28</v>
      </c>
      <c r="C97" s="2" t="s">
        <v>29</v>
      </c>
      <c r="D97" s="2" t="s">
        <v>30</v>
      </c>
      <c r="E97" s="2" t="s">
        <v>31</v>
      </c>
      <c r="F97" s="2" t="s">
        <v>338</v>
      </c>
      <c r="G97" s="2" t="s">
        <v>33</v>
      </c>
      <c r="H97" s="2" t="s">
        <v>33</v>
      </c>
      <c r="I97" s="2" t="s">
        <v>86</v>
      </c>
      <c r="J97" s="2" t="s">
        <v>35</v>
      </c>
      <c r="K97" s="2" t="s">
        <v>575</v>
      </c>
      <c r="L97" s="2" t="s">
        <v>37</v>
      </c>
      <c r="M97" t="s">
        <v>1666</v>
      </c>
      <c r="N97" t="s">
        <v>1883</v>
      </c>
      <c r="O97" t="s">
        <v>1666</v>
      </c>
      <c r="P97" t="s">
        <v>1929</v>
      </c>
      <c r="Q97" s="2"/>
      <c r="R97" s="2"/>
      <c r="S97" s="2"/>
      <c r="T97" s="2"/>
      <c r="U97" s="2" t="s">
        <v>40</v>
      </c>
      <c r="V97" s="2" t="s">
        <v>41</v>
      </c>
      <c r="W97" s="2" t="s">
        <v>578</v>
      </c>
      <c r="X97" s="2" t="s">
        <v>579</v>
      </c>
      <c r="Y97" s="2" t="s">
        <v>44</v>
      </c>
      <c r="Z97" s="2"/>
      <c r="AA97" s="2"/>
      <c r="AB97" s="2" t="s">
        <v>45</v>
      </c>
      <c r="AC97" s="2"/>
    </row>
    <row r="98" spans="1:29" x14ac:dyDescent="0.35">
      <c r="A98" s="1" t="s">
        <v>27</v>
      </c>
      <c r="B98" s="1" t="s">
        <v>28</v>
      </c>
      <c r="C98" s="1" t="s">
        <v>29</v>
      </c>
      <c r="D98" s="1" t="s">
        <v>30</v>
      </c>
      <c r="E98" s="1" t="s">
        <v>31</v>
      </c>
      <c r="F98" s="1" t="s">
        <v>338</v>
      </c>
      <c r="G98" s="1" t="s">
        <v>53</v>
      </c>
      <c r="H98" s="1" t="s">
        <v>54</v>
      </c>
      <c r="I98" s="1" t="s">
        <v>86</v>
      </c>
      <c r="J98" s="1" t="s">
        <v>308</v>
      </c>
      <c r="K98" s="1" t="s">
        <v>580</v>
      </c>
      <c r="L98" s="1" t="s">
        <v>310</v>
      </c>
      <c r="M98" t="s">
        <v>1703</v>
      </c>
      <c r="N98" t="s">
        <v>1883</v>
      </c>
      <c r="O98" t="s">
        <v>1703</v>
      </c>
      <c r="P98" t="s">
        <v>1930</v>
      </c>
      <c r="Q98" s="1" t="s">
        <v>61</v>
      </c>
      <c r="R98" s="1" t="s">
        <v>583</v>
      </c>
      <c r="S98" s="1" t="s">
        <v>63</v>
      </c>
      <c r="T98" s="1" t="s">
        <v>63</v>
      </c>
      <c r="U98" s="1" t="s">
        <v>40</v>
      </c>
      <c r="V98" s="1" t="s">
        <v>41</v>
      </c>
      <c r="W98" s="1" t="s">
        <v>584</v>
      </c>
      <c r="X98" s="1" t="s">
        <v>585</v>
      </c>
      <c r="Y98" s="1" t="s">
        <v>44</v>
      </c>
      <c r="Z98" s="1" t="b">
        <v>1</v>
      </c>
      <c r="AA98" s="1"/>
      <c r="AB98" s="1" t="s">
        <v>45</v>
      </c>
      <c r="AC98" s="1"/>
    </row>
    <row r="99" spans="1:29" x14ac:dyDescent="0.35">
      <c r="A99" s="2" t="s">
        <v>27</v>
      </c>
      <c r="B99" s="2" t="s">
        <v>28</v>
      </c>
      <c r="C99" s="2" t="s">
        <v>29</v>
      </c>
      <c r="D99" s="2" t="s">
        <v>30</v>
      </c>
      <c r="E99" s="2" t="s">
        <v>31</v>
      </c>
      <c r="F99" s="2" t="s">
        <v>338</v>
      </c>
      <c r="G99" s="2" t="s">
        <v>53</v>
      </c>
      <c r="H99" s="2" t="s">
        <v>54</v>
      </c>
      <c r="I99" s="2" t="s">
        <v>86</v>
      </c>
      <c r="J99" s="2" t="s">
        <v>308</v>
      </c>
      <c r="K99" s="2" t="s">
        <v>586</v>
      </c>
      <c r="L99" s="2" t="s">
        <v>310</v>
      </c>
      <c r="M99" t="s">
        <v>1704</v>
      </c>
      <c r="N99" t="s">
        <v>1883</v>
      </c>
      <c r="O99" t="s">
        <v>1704</v>
      </c>
      <c r="P99" t="s">
        <v>1931</v>
      </c>
      <c r="Q99" s="2" t="s">
        <v>61</v>
      </c>
      <c r="R99" s="2" t="s">
        <v>583</v>
      </c>
      <c r="S99" s="2" t="s">
        <v>63</v>
      </c>
      <c r="T99" s="2" t="s">
        <v>63</v>
      </c>
      <c r="U99" s="2" t="s">
        <v>40</v>
      </c>
      <c r="V99" s="2" t="s">
        <v>41</v>
      </c>
      <c r="W99" s="2" t="s">
        <v>589</v>
      </c>
      <c r="X99" s="2" t="s">
        <v>590</v>
      </c>
      <c r="Y99" s="2" t="s">
        <v>44</v>
      </c>
      <c r="Z99" s="2" t="b">
        <v>1</v>
      </c>
      <c r="AA99" s="2"/>
      <c r="AB99" s="2" t="s">
        <v>45</v>
      </c>
      <c r="AC99" s="2"/>
    </row>
    <row r="100" spans="1:29" x14ac:dyDescent="0.35">
      <c r="A100" s="1" t="s">
        <v>27</v>
      </c>
      <c r="B100" s="1" t="s">
        <v>28</v>
      </c>
      <c r="C100" s="1" t="s">
        <v>29</v>
      </c>
      <c r="D100" s="1" t="s">
        <v>30</v>
      </c>
      <c r="E100" s="1" t="s">
        <v>31</v>
      </c>
      <c r="F100" s="1" t="s">
        <v>338</v>
      </c>
      <c r="G100" s="1" t="s">
        <v>53</v>
      </c>
      <c r="H100" s="1" t="s">
        <v>54</v>
      </c>
      <c r="I100" s="1" t="s">
        <v>86</v>
      </c>
      <c r="J100" s="1" t="s">
        <v>308</v>
      </c>
      <c r="K100" s="1" t="s">
        <v>591</v>
      </c>
      <c r="L100" s="1" t="s">
        <v>310</v>
      </c>
      <c r="M100" t="s">
        <v>1705</v>
      </c>
      <c r="N100" t="s">
        <v>1883</v>
      </c>
      <c r="O100" t="s">
        <v>1705</v>
      </c>
      <c r="P100" t="s">
        <v>1932</v>
      </c>
      <c r="Q100" s="1" t="s">
        <v>61</v>
      </c>
      <c r="R100" s="1" t="s">
        <v>223</v>
      </c>
      <c r="S100" s="1" t="s">
        <v>63</v>
      </c>
      <c r="T100" s="1" t="s">
        <v>63</v>
      </c>
      <c r="U100" s="1" t="s">
        <v>40</v>
      </c>
      <c r="V100" s="1" t="s">
        <v>41</v>
      </c>
      <c r="W100" s="1" t="s">
        <v>594</v>
      </c>
      <c r="X100" s="1" t="s">
        <v>595</v>
      </c>
      <c r="Y100" s="1" t="s">
        <v>44</v>
      </c>
      <c r="Z100" s="1" t="b">
        <v>1</v>
      </c>
      <c r="AA100" s="1"/>
      <c r="AB100" s="1" t="s">
        <v>45</v>
      </c>
      <c r="AC100" s="1"/>
    </row>
    <row r="101" spans="1:29" x14ac:dyDescent="0.35">
      <c r="A101" s="2" t="s">
        <v>27</v>
      </c>
      <c r="B101" s="2" t="s">
        <v>28</v>
      </c>
      <c r="C101" s="2" t="s">
        <v>29</v>
      </c>
      <c r="D101" s="2" t="s">
        <v>30</v>
      </c>
      <c r="E101" s="2" t="s">
        <v>31</v>
      </c>
      <c r="F101" s="2" t="s">
        <v>338</v>
      </c>
      <c r="G101" s="2" t="s">
        <v>53</v>
      </c>
      <c r="H101" s="2" t="s">
        <v>54</v>
      </c>
      <c r="I101" s="2" t="s">
        <v>86</v>
      </c>
      <c r="J101" s="2" t="s">
        <v>308</v>
      </c>
      <c r="K101" s="2" t="s">
        <v>596</v>
      </c>
      <c r="L101" s="2" t="s">
        <v>310</v>
      </c>
      <c r="M101" t="s">
        <v>1706</v>
      </c>
      <c r="N101" t="s">
        <v>1883</v>
      </c>
      <c r="O101" t="s">
        <v>1706</v>
      </c>
      <c r="P101" t="s">
        <v>1933</v>
      </c>
      <c r="Q101" s="2" t="s">
        <v>61</v>
      </c>
      <c r="R101" s="2" t="s">
        <v>599</v>
      </c>
      <c r="S101" s="2" t="s">
        <v>63</v>
      </c>
      <c r="T101" s="2" t="s">
        <v>63</v>
      </c>
      <c r="U101" s="2" t="s">
        <v>40</v>
      </c>
      <c r="V101" s="2" t="s">
        <v>41</v>
      </c>
      <c r="W101" s="2" t="s">
        <v>600</v>
      </c>
      <c r="X101" s="2" t="s">
        <v>601</v>
      </c>
      <c r="Y101" s="2" t="s">
        <v>44</v>
      </c>
      <c r="Z101" s="2" t="b">
        <v>1</v>
      </c>
      <c r="AA101" s="2"/>
      <c r="AB101" s="2" t="s">
        <v>45</v>
      </c>
      <c r="AC101" s="2"/>
    </row>
    <row r="102" spans="1:29" x14ac:dyDescent="0.35">
      <c r="A102" s="1" t="s">
        <v>27</v>
      </c>
      <c r="B102" s="1" t="s">
        <v>28</v>
      </c>
      <c r="C102" s="1" t="s">
        <v>29</v>
      </c>
      <c r="D102" s="1" t="s">
        <v>30</v>
      </c>
      <c r="E102" s="1" t="s">
        <v>31</v>
      </c>
      <c r="F102" s="1" t="s">
        <v>338</v>
      </c>
      <c r="G102" s="1" t="s">
        <v>53</v>
      </c>
      <c r="H102" s="1" t="s">
        <v>54</v>
      </c>
      <c r="I102" s="1" t="s">
        <v>86</v>
      </c>
      <c r="J102" s="1" t="s">
        <v>320</v>
      </c>
      <c r="K102" s="1" t="s">
        <v>602</v>
      </c>
      <c r="L102" s="1" t="s">
        <v>322</v>
      </c>
      <c r="M102" t="s">
        <v>1715</v>
      </c>
      <c r="N102" t="s">
        <v>1883</v>
      </c>
      <c r="O102" t="s">
        <v>1715</v>
      </c>
      <c r="P102" t="s">
        <v>1934</v>
      </c>
      <c r="Q102" s="1" t="s">
        <v>61</v>
      </c>
      <c r="R102" s="1" t="s">
        <v>605</v>
      </c>
      <c r="S102" s="1" t="s">
        <v>63</v>
      </c>
      <c r="T102" s="1" t="s">
        <v>63</v>
      </c>
      <c r="U102" s="1" t="s">
        <v>40</v>
      </c>
      <c r="V102" s="1" t="s">
        <v>41</v>
      </c>
      <c r="W102" s="1" t="s">
        <v>606</v>
      </c>
      <c r="X102" s="1" t="s">
        <v>607</v>
      </c>
      <c r="Y102" s="1" t="s">
        <v>44</v>
      </c>
      <c r="Z102" s="1" t="b">
        <v>1</v>
      </c>
      <c r="AA102" s="1"/>
      <c r="AB102" s="1" t="s">
        <v>45</v>
      </c>
      <c r="AC102" s="1"/>
    </row>
    <row r="103" spans="1:29" x14ac:dyDescent="0.35">
      <c r="A103" s="2" t="s">
        <v>27</v>
      </c>
      <c r="B103" s="2" t="s">
        <v>28</v>
      </c>
      <c r="C103" s="2" t="s">
        <v>29</v>
      </c>
      <c r="D103" s="2" t="s">
        <v>30</v>
      </c>
      <c r="E103" s="2" t="s">
        <v>31</v>
      </c>
      <c r="F103" s="2" t="s">
        <v>338</v>
      </c>
      <c r="G103" s="2" t="s">
        <v>53</v>
      </c>
      <c r="H103" s="2" t="s">
        <v>54</v>
      </c>
      <c r="I103" s="2" t="s">
        <v>86</v>
      </c>
      <c r="J103" s="2" t="s">
        <v>320</v>
      </c>
      <c r="K103" s="2" t="s">
        <v>608</v>
      </c>
      <c r="L103" s="2" t="s">
        <v>322</v>
      </c>
      <c r="M103" t="s">
        <v>1716</v>
      </c>
      <c r="N103" t="s">
        <v>1883</v>
      </c>
      <c r="O103" t="s">
        <v>1716</v>
      </c>
      <c r="P103" t="s">
        <v>1935</v>
      </c>
      <c r="Q103" s="2" t="s">
        <v>61</v>
      </c>
      <c r="R103" s="2" t="s">
        <v>325</v>
      </c>
      <c r="S103" s="2" t="s">
        <v>63</v>
      </c>
      <c r="T103" s="2" t="s">
        <v>63</v>
      </c>
      <c r="U103" s="2" t="s">
        <v>40</v>
      </c>
      <c r="V103" s="2" t="s">
        <v>41</v>
      </c>
      <c r="W103" s="2" t="s">
        <v>611</v>
      </c>
      <c r="X103" s="2" t="s">
        <v>612</v>
      </c>
      <c r="Y103" s="2" t="s">
        <v>44</v>
      </c>
      <c r="Z103" s="2" t="b">
        <v>1</v>
      </c>
      <c r="AA103" s="2"/>
      <c r="AB103" s="2" t="s">
        <v>45</v>
      </c>
      <c r="AC103" s="2"/>
    </row>
    <row r="104" spans="1:29" x14ac:dyDescent="0.35">
      <c r="A104" s="1" t="s">
        <v>27</v>
      </c>
      <c r="B104" s="1" t="s">
        <v>28</v>
      </c>
      <c r="C104" s="1" t="s">
        <v>29</v>
      </c>
      <c r="D104" s="1" t="s">
        <v>30</v>
      </c>
      <c r="E104" s="1" t="s">
        <v>31</v>
      </c>
      <c r="F104" s="1" t="s">
        <v>338</v>
      </c>
      <c r="G104" s="1" t="s">
        <v>53</v>
      </c>
      <c r="H104" s="1" t="s">
        <v>54</v>
      </c>
      <c r="I104" s="1" t="s">
        <v>86</v>
      </c>
      <c r="J104" s="1" t="s">
        <v>320</v>
      </c>
      <c r="K104" s="1" t="s">
        <v>613</v>
      </c>
      <c r="L104" s="1" t="s">
        <v>322</v>
      </c>
      <c r="M104" t="s">
        <v>1717</v>
      </c>
      <c r="N104" t="s">
        <v>1883</v>
      </c>
      <c r="O104" t="s">
        <v>1717</v>
      </c>
      <c r="P104" t="s">
        <v>1936</v>
      </c>
      <c r="Q104" s="1" t="s">
        <v>61</v>
      </c>
      <c r="R104" s="1" t="s">
        <v>325</v>
      </c>
      <c r="S104" s="1" t="s">
        <v>63</v>
      </c>
      <c r="T104" s="1" t="s">
        <v>63</v>
      </c>
      <c r="U104" s="1" t="s">
        <v>40</v>
      </c>
      <c r="V104" s="1" t="s">
        <v>41</v>
      </c>
      <c r="W104" s="1" t="s">
        <v>616</v>
      </c>
      <c r="X104" s="1" t="s">
        <v>617</v>
      </c>
      <c r="Y104" s="1" t="s">
        <v>44</v>
      </c>
      <c r="Z104" s="1" t="b">
        <v>1</v>
      </c>
      <c r="AA104" s="1"/>
      <c r="AB104" s="1" t="s">
        <v>45</v>
      </c>
      <c r="AC104" s="1"/>
    </row>
    <row r="105" spans="1:29" x14ac:dyDescent="0.35">
      <c r="A105" s="2" t="s">
        <v>27</v>
      </c>
      <c r="B105" s="2" t="s">
        <v>28</v>
      </c>
      <c r="C105" s="2" t="s">
        <v>29</v>
      </c>
      <c r="D105" s="2" t="s">
        <v>30</v>
      </c>
      <c r="E105" s="2" t="s">
        <v>31</v>
      </c>
      <c r="F105" s="2" t="s">
        <v>618</v>
      </c>
      <c r="G105" s="2" t="s">
        <v>618</v>
      </c>
      <c r="H105" s="2" t="s">
        <v>54</v>
      </c>
      <c r="I105" s="2" t="s">
        <v>55</v>
      </c>
      <c r="J105" s="2" t="s">
        <v>56</v>
      </c>
      <c r="K105" s="2" t="s">
        <v>619</v>
      </c>
      <c r="L105" s="2" t="s">
        <v>88</v>
      </c>
      <c r="M105" t="s">
        <v>1718</v>
      </c>
      <c r="N105" t="s">
        <v>1883</v>
      </c>
      <c r="O105" t="s">
        <v>1718</v>
      </c>
      <c r="P105" t="s">
        <v>1937</v>
      </c>
      <c r="Q105" s="2" t="s">
        <v>61</v>
      </c>
      <c r="R105" s="2" t="s">
        <v>622</v>
      </c>
      <c r="S105" s="2" t="s">
        <v>63</v>
      </c>
      <c r="T105" s="2" t="s">
        <v>63</v>
      </c>
      <c r="U105" s="2" t="s">
        <v>40</v>
      </c>
      <c r="V105" s="2" t="s">
        <v>41</v>
      </c>
      <c r="W105" s="2" t="s">
        <v>623</v>
      </c>
      <c r="X105" s="2" t="s">
        <v>624</v>
      </c>
      <c r="Y105" s="2" t="s">
        <v>44</v>
      </c>
      <c r="Z105" s="2" t="b">
        <v>1</v>
      </c>
      <c r="AA105" s="2"/>
      <c r="AB105" s="2" t="s">
        <v>45</v>
      </c>
      <c r="AC105" s="2"/>
    </row>
    <row r="106" spans="1:29" x14ac:dyDescent="0.35">
      <c r="A106" s="1" t="s">
        <v>27</v>
      </c>
      <c r="B106" s="1" t="s">
        <v>28</v>
      </c>
      <c r="C106" s="1" t="s">
        <v>29</v>
      </c>
      <c r="D106" s="1" t="s">
        <v>30</v>
      </c>
      <c r="E106" s="1" t="s">
        <v>31</v>
      </c>
      <c r="F106" s="1" t="s">
        <v>618</v>
      </c>
      <c r="G106" s="1" t="s">
        <v>618</v>
      </c>
      <c r="H106" s="1" t="s">
        <v>54</v>
      </c>
      <c r="I106" s="1" t="s">
        <v>55</v>
      </c>
      <c r="J106" s="1" t="s">
        <v>56</v>
      </c>
      <c r="K106" s="1" t="s">
        <v>625</v>
      </c>
      <c r="L106" s="1" t="s">
        <v>88</v>
      </c>
      <c r="M106" t="s">
        <v>1707</v>
      </c>
      <c r="N106" t="s">
        <v>1883</v>
      </c>
      <c r="O106" t="s">
        <v>1707</v>
      </c>
      <c r="P106" t="s">
        <v>1938</v>
      </c>
      <c r="Q106" s="1" t="s">
        <v>61</v>
      </c>
      <c r="R106" s="1" t="s">
        <v>622</v>
      </c>
      <c r="S106" s="1" t="s">
        <v>63</v>
      </c>
      <c r="T106" s="1" t="s">
        <v>63</v>
      </c>
      <c r="U106" s="1" t="s">
        <v>40</v>
      </c>
      <c r="V106" s="1" t="s">
        <v>41</v>
      </c>
      <c r="W106" s="1" t="s">
        <v>628</v>
      </c>
      <c r="X106" s="1" t="s">
        <v>629</v>
      </c>
      <c r="Y106" s="1" t="s">
        <v>44</v>
      </c>
      <c r="Z106" s="1" t="b">
        <v>1</v>
      </c>
      <c r="AA106" s="1"/>
      <c r="AB106" s="1" t="s">
        <v>45</v>
      </c>
      <c r="AC106" s="1"/>
    </row>
    <row r="107" spans="1:29" x14ac:dyDescent="0.35">
      <c r="A107" s="2" t="s">
        <v>27</v>
      </c>
      <c r="B107" s="2" t="s">
        <v>28</v>
      </c>
      <c r="C107" s="2" t="s">
        <v>29</v>
      </c>
      <c r="D107" s="2" t="s">
        <v>30</v>
      </c>
      <c r="E107" s="2" t="s">
        <v>31</v>
      </c>
      <c r="F107" s="2" t="s">
        <v>618</v>
      </c>
      <c r="G107" s="2" t="s">
        <v>618</v>
      </c>
      <c r="H107" s="2" t="s">
        <v>54</v>
      </c>
      <c r="I107" s="2" t="s">
        <v>86</v>
      </c>
      <c r="J107" s="2" t="s">
        <v>56</v>
      </c>
      <c r="K107" s="2" t="s">
        <v>630</v>
      </c>
      <c r="L107" s="2" t="s">
        <v>88</v>
      </c>
      <c r="M107" t="s">
        <v>1708</v>
      </c>
      <c r="N107" t="s">
        <v>1883</v>
      </c>
      <c r="O107" t="s">
        <v>1708</v>
      </c>
      <c r="P107" t="s">
        <v>1939</v>
      </c>
      <c r="Q107" s="2" t="s">
        <v>61</v>
      </c>
      <c r="R107" s="2" t="s">
        <v>633</v>
      </c>
      <c r="S107" s="2" t="s">
        <v>63</v>
      </c>
      <c r="T107" s="2" t="s">
        <v>63</v>
      </c>
      <c r="U107" s="2" t="s">
        <v>40</v>
      </c>
      <c r="V107" s="2" t="s">
        <v>41</v>
      </c>
      <c r="W107" s="2" t="s">
        <v>634</v>
      </c>
      <c r="X107" s="2" t="s">
        <v>635</v>
      </c>
      <c r="Y107" s="2" t="s">
        <v>44</v>
      </c>
      <c r="Z107" s="2" t="b">
        <v>1</v>
      </c>
      <c r="AA107" s="2"/>
      <c r="AB107" s="2" t="s">
        <v>45</v>
      </c>
      <c r="AC107" s="2"/>
    </row>
    <row r="108" spans="1:29" x14ac:dyDescent="0.35">
      <c r="A108" s="1" t="s">
        <v>27</v>
      </c>
      <c r="B108" s="1" t="s">
        <v>28</v>
      </c>
      <c r="C108" s="1" t="s">
        <v>29</v>
      </c>
      <c r="D108" s="1" t="s">
        <v>30</v>
      </c>
      <c r="E108" s="1" t="s">
        <v>31</v>
      </c>
      <c r="F108" s="1" t="s">
        <v>618</v>
      </c>
      <c r="G108" s="1" t="s">
        <v>618</v>
      </c>
      <c r="H108" s="1" t="s">
        <v>54</v>
      </c>
      <c r="I108" s="1" t="s">
        <v>86</v>
      </c>
      <c r="J108" s="1" t="s">
        <v>56</v>
      </c>
      <c r="K108" s="1" t="s">
        <v>636</v>
      </c>
      <c r="L108" s="1" t="s">
        <v>88</v>
      </c>
      <c r="M108" t="s">
        <v>1709</v>
      </c>
      <c r="N108" t="s">
        <v>1883</v>
      </c>
      <c r="O108" t="s">
        <v>1709</v>
      </c>
      <c r="P108" t="s">
        <v>1940</v>
      </c>
      <c r="Q108" s="1" t="s">
        <v>61</v>
      </c>
      <c r="R108" s="1" t="s">
        <v>639</v>
      </c>
      <c r="S108" s="1" t="s">
        <v>63</v>
      </c>
      <c r="T108" s="1" t="s">
        <v>63</v>
      </c>
      <c r="U108" s="1" t="s">
        <v>40</v>
      </c>
      <c r="V108" s="1" t="s">
        <v>41</v>
      </c>
      <c r="W108" s="1" t="s">
        <v>640</v>
      </c>
      <c r="X108" s="1" t="s">
        <v>641</v>
      </c>
      <c r="Y108" s="1" t="s">
        <v>44</v>
      </c>
      <c r="Z108" s="1" t="b">
        <v>1</v>
      </c>
      <c r="AA108" s="1"/>
      <c r="AB108" s="1" t="s">
        <v>45</v>
      </c>
      <c r="AC108" s="1"/>
    </row>
    <row r="109" spans="1:29" x14ac:dyDescent="0.35">
      <c r="A109" s="2" t="s">
        <v>27</v>
      </c>
      <c r="B109" s="2" t="s">
        <v>28</v>
      </c>
      <c r="C109" s="2" t="s">
        <v>29</v>
      </c>
      <c r="D109" s="2" t="s">
        <v>30</v>
      </c>
      <c r="E109" s="2" t="s">
        <v>31</v>
      </c>
      <c r="F109" s="2" t="s">
        <v>618</v>
      </c>
      <c r="G109" s="2" t="s">
        <v>618</v>
      </c>
      <c r="H109" s="2" t="s">
        <v>54</v>
      </c>
      <c r="I109" s="2" t="s">
        <v>86</v>
      </c>
      <c r="J109" s="2" t="s">
        <v>56</v>
      </c>
      <c r="K109" s="2" t="s">
        <v>642</v>
      </c>
      <c r="L109" s="2" t="s">
        <v>88</v>
      </c>
      <c r="M109" t="s">
        <v>1710</v>
      </c>
      <c r="N109" t="s">
        <v>1883</v>
      </c>
      <c r="O109" t="s">
        <v>1710</v>
      </c>
      <c r="P109" t="s">
        <v>1941</v>
      </c>
      <c r="Q109" s="2" t="s">
        <v>61</v>
      </c>
      <c r="R109" s="2" t="s">
        <v>639</v>
      </c>
      <c r="S109" s="2" t="s">
        <v>63</v>
      </c>
      <c r="T109" s="2" t="s">
        <v>63</v>
      </c>
      <c r="U109" s="2" t="s">
        <v>40</v>
      </c>
      <c r="V109" s="2" t="s">
        <v>41</v>
      </c>
      <c r="W109" s="2" t="s">
        <v>645</v>
      </c>
      <c r="X109" s="2" t="s">
        <v>646</v>
      </c>
      <c r="Y109" s="2" t="s">
        <v>44</v>
      </c>
      <c r="Z109" s="2" t="b">
        <v>1</v>
      </c>
      <c r="AA109" s="2"/>
      <c r="AB109" s="2" t="s">
        <v>45</v>
      </c>
      <c r="AC109" s="2"/>
    </row>
    <row r="110" spans="1:29" x14ac:dyDescent="0.35">
      <c r="A110" s="1" t="s">
        <v>27</v>
      </c>
      <c r="B110" s="1" t="s">
        <v>28</v>
      </c>
      <c r="C110" s="1" t="s">
        <v>29</v>
      </c>
      <c r="D110" s="1" t="s">
        <v>30</v>
      </c>
      <c r="E110" s="1" t="s">
        <v>31</v>
      </c>
      <c r="F110" s="1" t="s">
        <v>618</v>
      </c>
      <c r="G110" s="1" t="s">
        <v>618</v>
      </c>
      <c r="H110" s="1" t="s">
        <v>54</v>
      </c>
      <c r="I110" s="1" t="s">
        <v>86</v>
      </c>
      <c r="J110" s="1" t="s">
        <v>56</v>
      </c>
      <c r="K110" s="1" t="s">
        <v>647</v>
      </c>
      <c r="L110" s="1" t="s">
        <v>88</v>
      </c>
      <c r="M110" t="s">
        <v>1711</v>
      </c>
      <c r="N110" t="s">
        <v>1883</v>
      </c>
      <c r="O110" t="s">
        <v>1711</v>
      </c>
      <c r="P110" t="s">
        <v>1942</v>
      </c>
      <c r="Q110" s="1" t="s">
        <v>61</v>
      </c>
      <c r="R110" s="1" t="s">
        <v>650</v>
      </c>
      <c r="S110" s="1" t="s">
        <v>63</v>
      </c>
      <c r="T110" s="1" t="s">
        <v>63</v>
      </c>
      <c r="U110" s="1" t="s">
        <v>40</v>
      </c>
      <c r="V110" s="1" t="s">
        <v>41</v>
      </c>
      <c r="W110" s="1" t="s">
        <v>651</v>
      </c>
      <c r="X110" s="1" t="s">
        <v>652</v>
      </c>
      <c r="Y110" s="1" t="s">
        <v>44</v>
      </c>
      <c r="Z110" s="1" t="b">
        <v>1</v>
      </c>
      <c r="AA110" s="1"/>
      <c r="AB110" s="1" t="s">
        <v>45</v>
      </c>
      <c r="AC110" s="1"/>
    </row>
    <row r="111" spans="1:29" x14ac:dyDescent="0.35">
      <c r="A111" s="2" t="s">
        <v>27</v>
      </c>
      <c r="B111" s="2" t="s">
        <v>28</v>
      </c>
      <c r="C111" s="2" t="s">
        <v>29</v>
      </c>
      <c r="D111" s="2" t="s">
        <v>30</v>
      </c>
      <c r="E111" s="2" t="s">
        <v>31</v>
      </c>
      <c r="F111" s="2" t="s">
        <v>618</v>
      </c>
      <c r="G111" s="2" t="s">
        <v>618</v>
      </c>
      <c r="H111" s="2" t="s">
        <v>54</v>
      </c>
      <c r="I111" s="2" t="s">
        <v>86</v>
      </c>
      <c r="J111" s="2" t="s">
        <v>139</v>
      </c>
      <c r="K111" s="2" t="s">
        <v>653</v>
      </c>
      <c r="L111" s="2" t="s">
        <v>141</v>
      </c>
      <c r="M111" t="s">
        <v>1712</v>
      </c>
      <c r="N111" t="s">
        <v>1883</v>
      </c>
      <c r="O111" t="s">
        <v>1712</v>
      </c>
      <c r="P111" t="s">
        <v>1943</v>
      </c>
      <c r="Q111" s="2" t="s">
        <v>61</v>
      </c>
      <c r="R111" s="2" t="s">
        <v>656</v>
      </c>
      <c r="S111" s="2" t="s">
        <v>63</v>
      </c>
      <c r="T111" s="2" t="s">
        <v>63</v>
      </c>
      <c r="U111" s="2" t="s">
        <v>40</v>
      </c>
      <c r="V111" s="2" t="s">
        <v>41</v>
      </c>
      <c r="W111" s="2" t="s">
        <v>657</v>
      </c>
      <c r="X111" s="2" t="s">
        <v>658</v>
      </c>
      <c r="Y111" s="2" t="s">
        <v>44</v>
      </c>
      <c r="Z111" s="2" t="b">
        <v>1</v>
      </c>
      <c r="AA111" s="2"/>
      <c r="AB111" s="2" t="s">
        <v>45</v>
      </c>
      <c r="AC111" s="2"/>
    </row>
    <row r="112" spans="1:29" x14ac:dyDescent="0.35">
      <c r="A112" s="1" t="s">
        <v>27</v>
      </c>
      <c r="B112" s="1" t="s">
        <v>28</v>
      </c>
      <c r="C112" s="1" t="s">
        <v>29</v>
      </c>
      <c r="D112" s="1" t="s">
        <v>30</v>
      </c>
      <c r="E112" s="1" t="s">
        <v>31</v>
      </c>
      <c r="F112" s="1" t="s">
        <v>618</v>
      </c>
      <c r="G112" s="1" t="s">
        <v>618</v>
      </c>
      <c r="H112" s="1" t="s">
        <v>54</v>
      </c>
      <c r="I112" s="1" t="s">
        <v>86</v>
      </c>
      <c r="J112" s="1" t="s">
        <v>139</v>
      </c>
      <c r="K112" s="1" t="s">
        <v>659</v>
      </c>
      <c r="L112" s="1" t="s">
        <v>141</v>
      </c>
      <c r="M112" t="s">
        <v>1713</v>
      </c>
      <c r="N112" t="s">
        <v>1883</v>
      </c>
      <c r="O112" t="s">
        <v>1713</v>
      </c>
      <c r="P112" t="s">
        <v>1944</v>
      </c>
      <c r="Q112" s="1" t="s">
        <v>61</v>
      </c>
      <c r="R112" s="1" t="s">
        <v>656</v>
      </c>
      <c r="S112" s="1" t="s">
        <v>63</v>
      </c>
      <c r="T112" s="1" t="s">
        <v>63</v>
      </c>
      <c r="U112" s="1" t="s">
        <v>40</v>
      </c>
      <c r="V112" s="1" t="s">
        <v>41</v>
      </c>
      <c r="W112" s="1" t="s">
        <v>662</v>
      </c>
      <c r="X112" s="1" t="s">
        <v>663</v>
      </c>
      <c r="Y112" s="1" t="s">
        <v>44</v>
      </c>
      <c r="Z112" s="1" t="b">
        <v>1</v>
      </c>
      <c r="AA112" s="1"/>
      <c r="AB112" s="1" t="s">
        <v>45</v>
      </c>
      <c r="AC112" s="1"/>
    </row>
    <row r="113" spans="1:29" x14ac:dyDescent="0.35">
      <c r="A113" s="2" t="s">
        <v>27</v>
      </c>
      <c r="B113" s="2" t="s">
        <v>28</v>
      </c>
      <c r="C113" s="2" t="s">
        <v>29</v>
      </c>
      <c r="D113" s="2" t="s">
        <v>30</v>
      </c>
      <c r="E113" s="2" t="s">
        <v>31</v>
      </c>
      <c r="F113" s="2" t="s">
        <v>618</v>
      </c>
      <c r="G113" s="2" t="s">
        <v>618</v>
      </c>
      <c r="H113" s="2" t="s">
        <v>54</v>
      </c>
      <c r="I113" s="2" t="s">
        <v>86</v>
      </c>
      <c r="J113" s="2" t="s">
        <v>139</v>
      </c>
      <c r="K113" s="2" t="s">
        <v>664</v>
      </c>
      <c r="L113" s="2" t="s">
        <v>141</v>
      </c>
      <c r="M113" t="s">
        <v>1714</v>
      </c>
      <c r="N113" t="s">
        <v>1883</v>
      </c>
      <c r="O113" t="s">
        <v>1714</v>
      </c>
      <c r="P113" t="s">
        <v>1945</v>
      </c>
      <c r="Q113" s="2" t="s">
        <v>61</v>
      </c>
      <c r="R113" s="2" t="s">
        <v>667</v>
      </c>
      <c r="S113" s="2" t="s">
        <v>63</v>
      </c>
      <c r="T113" s="2" t="s">
        <v>63</v>
      </c>
      <c r="U113" s="2" t="s">
        <v>40</v>
      </c>
      <c r="V113" s="2" t="s">
        <v>41</v>
      </c>
      <c r="W113" s="2" t="s">
        <v>668</v>
      </c>
      <c r="X113" s="2" t="s">
        <v>669</v>
      </c>
      <c r="Y113" s="2" t="s">
        <v>44</v>
      </c>
      <c r="Z113" s="2" t="b">
        <v>1</v>
      </c>
      <c r="AA113" s="2"/>
      <c r="AB113" s="2" t="s">
        <v>45</v>
      </c>
      <c r="AC113" s="2"/>
    </row>
    <row r="114" spans="1:29" x14ac:dyDescent="0.35">
      <c r="A114" s="1" t="s">
        <v>27</v>
      </c>
      <c r="B114" s="1" t="s">
        <v>28</v>
      </c>
      <c r="C114" s="1" t="s">
        <v>29</v>
      </c>
      <c r="D114" s="1" t="s">
        <v>30</v>
      </c>
      <c r="E114" s="1" t="s">
        <v>31</v>
      </c>
      <c r="F114" s="1" t="s">
        <v>618</v>
      </c>
      <c r="G114" s="1" t="s">
        <v>618</v>
      </c>
      <c r="H114" s="1" t="s">
        <v>54</v>
      </c>
      <c r="I114" s="1" t="s">
        <v>86</v>
      </c>
      <c r="J114" s="1" t="s">
        <v>163</v>
      </c>
      <c r="K114" s="1" t="s">
        <v>670</v>
      </c>
      <c r="L114" s="1" t="s">
        <v>165</v>
      </c>
      <c r="M114" t="s">
        <v>1946</v>
      </c>
      <c r="N114" t="s">
        <v>1883</v>
      </c>
      <c r="O114" t="s">
        <v>1946</v>
      </c>
      <c r="P114" t="s">
        <v>1947</v>
      </c>
      <c r="Q114" s="1" t="s">
        <v>61</v>
      </c>
      <c r="R114" s="1" t="s">
        <v>673</v>
      </c>
      <c r="S114" s="1" t="s">
        <v>63</v>
      </c>
      <c r="T114" s="1" t="s">
        <v>63</v>
      </c>
      <c r="U114" s="1" t="s">
        <v>40</v>
      </c>
      <c r="V114" s="1" t="s">
        <v>41</v>
      </c>
      <c r="W114" s="1" t="s">
        <v>674</v>
      </c>
      <c r="X114" s="1" t="s">
        <v>675</v>
      </c>
      <c r="Y114" s="1" t="s">
        <v>44</v>
      </c>
      <c r="Z114" s="1" t="b">
        <v>1</v>
      </c>
      <c r="AA114" s="1"/>
      <c r="AB114" s="1" t="s">
        <v>45</v>
      </c>
      <c r="AC114" s="1"/>
    </row>
    <row r="115" spans="1:29" x14ac:dyDescent="0.35">
      <c r="A115" s="2" t="s">
        <v>27</v>
      </c>
      <c r="B115" s="2" t="s">
        <v>28</v>
      </c>
      <c r="C115" s="2" t="s">
        <v>29</v>
      </c>
      <c r="D115" s="2" t="s">
        <v>30</v>
      </c>
      <c r="E115" s="2" t="s">
        <v>31</v>
      </c>
      <c r="F115" s="2" t="s">
        <v>618</v>
      </c>
      <c r="G115" s="2" t="s">
        <v>618</v>
      </c>
      <c r="H115" s="2" t="s">
        <v>54</v>
      </c>
      <c r="I115" s="2" t="s">
        <v>86</v>
      </c>
      <c r="J115" s="2" t="s">
        <v>163</v>
      </c>
      <c r="K115" s="2" t="s">
        <v>676</v>
      </c>
      <c r="L115" s="2" t="s">
        <v>165</v>
      </c>
      <c r="M115" t="s">
        <v>1948</v>
      </c>
      <c r="N115" t="s">
        <v>1883</v>
      </c>
      <c r="O115" t="s">
        <v>1948</v>
      </c>
      <c r="P115" t="s">
        <v>1949</v>
      </c>
      <c r="Q115" s="2" t="s">
        <v>61</v>
      </c>
      <c r="R115" s="2" t="s">
        <v>679</v>
      </c>
      <c r="S115" s="2" t="s">
        <v>63</v>
      </c>
      <c r="T115" s="2" t="s">
        <v>63</v>
      </c>
      <c r="U115" s="2" t="s">
        <v>40</v>
      </c>
      <c r="V115" s="2" t="s">
        <v>41</v>
      </c>
      <c r="W115" s="2" t="s">
        <v>680</v>
      </c>
      <c r="X115" s="2" t="s">
        <v>681</v>
      </c>
      <c r="Y115" s="2" t="s">
        <v>44</v>
      </c>
      <c r="Z115" s="2" t="b">
        <v>1</v>
      </c>
      <c r="AA115" s="2"/>
      <c r="AB115" s="2" t="s">
        <v>45</v>
      </c>
      <c r="AC115" s="2"/>
    </row>
    <row r="116" spans="1:29" x14ac:dyDescent="0.35">
      <c r="A116" s="1" t="s">
        <v>27</v>
      </c>
      <c r="B116" s="1" t="s">
        <v>28</v>
      </c>
      <c r="C116" s="1" t="s">
        <v>29</v>
      </c>
      <c r="D116" s="1" t="s">
        <v>30</v>
      </c>
      <c r="E116" s="1" t="s">
        <v>31</v>
      </c>
      <c r="F116" s="1" t="s">
        <v>618</v>
      </c>
      <c r="G116" s="1" t="s">
        <v>618</v>
      </c>
      <c r="H116" s="1" t="s">
        <v>54</v>
      </c>
      <c r="I116" s="1" t="s">
        <v>86</v>
      </c>
      <c r="J116" s="1" t="s">
        <v>191</v>
      </c>
      <c r="K116" s="1" t="s">
        <v>682</v>
      </c>
      <c r="L116" s="1" t="s">
        <v>58</v>
      </c>
      <c r="M116" t="s">
        <v>1722</v>
      </c>
      <c r="N116" t="s">
        <v>1883</v>
      </c>
      <c r="O116" t="s">
        <v>1722</v>
      </c>
      <c r="P116" t="s">
        <v>1950</v>
      </c>
      <c r="Q116" s="1" t="s">
        <v>61</v>
      </c>
      <c r="R116" s="1" t="s">
        <v>62</v>
      </c>
      <c r="S116" s="1" t="s">
        <v>63</v>
      </c>
      <c r="T116" s="1" t="s">
        <v>63</v>
      </c>
      <c r="U116" s="1" t="s">
        <v>40</v>
      </c>
      <c r="V116" s="1" t="s">
        <v>41</v>
      </c>
      <c r="W116" s="1" t="s">
        <v>685</v>
      </c>
      <c r="X116" s="1" t="s">
        <v>686</v>
      </c>
      <c r="Y116" s="1" t="s">
        <v>44</v>
      </c>
      <c r="Z116" s="1" t="b">
        <v>1</v>
      </c>
      <c r="AA116" s="1"/>
      <c r="AB116" s="1" t="s">
        <v>45</v>
      </c>
      <c r="AC116" s="1"/>
    </row>
    <row r="117" spans="1:29" x14ac:dyDescent="0.35">
      <c r="A117" s="2" t="s">
        <v>27</v>
      </c>
      <c r="B117" s="2" t="s">
        <v>28</v>
      </c>
      <c r="C117" s="2" t="s">
        <v>29</v>
      </c>
      <c r="D117" s="2" t="s">
        <v>30</v>
      </c>
      <c r="E117" s="2" t="s">
        <v>31</v>
      </c>
      <c r="F117" s="2" t="s">
        <v>618</v>
      </c>
      <c r="G117" s="2" t="s">
        <v>618</v>
      </c>
      <c r="H117" s="2" t="s">
        <v>54</v>
      </c>
      <c r="I117" s="2" t="s">
        <v>86</v>
      </c>
      <c r="J117" s="2" t="s">
        <v>212</v>
      </c>
      <c r="K117" s="2" t="s">
        <v>687</v>
      </c>
      <c r="L117" s="2" t="s">
        <v>214</v>
      </c>
      <c r="M117" t="s">
        <v>1723</v>
      </c>
      <c r="N117" t="s">
        <v>1883</v>
      </c>
      <c r="O117" t="s">
        <v>1723</v>
      </c>
      <c r="P117" t="s">
        <v>1951</v>
      </c>
      <c r="Q117" s="2" t="s">
        <v>690</v>
      </c>
      <c r="R117" s="2" t="s">
        <v>61</v>
      </c>
      <c r="S117" s="2" t="s">
        <v>63</v>
      </c>
      <c r="T117" s="2" t="s">
        <v>63</v>
      </c>
      <c r="U117" s="2" t="s">
        <v>40</v>
      </c>
      <c r="V117" s="2" t="s">
        <v>41</v>
      </c>
      <c r="W117" s="2" t="s">
        <v>691</v>
      </c>
      <c r="X117" s="2" t="s">
        <v>692</v>
      </c>
      <c r="Y117" s="2" t="s">
        <v>44</v>
      </c>
      <c r="Z117" s="2" t="b">
        <v>1</v>
      </c>
      <c r="AA117" s="2"/>
      <c r="AB117" s="2" t="s">
        <v>45</v>
      </c>
      <c r="AC117" s="2"/>
    </row>
    <row r="118" spans="1:29" x14ac:dyDescent="0.35">
      <c r="A118" s="1" t="s">
        <v>27</v>
      </c>
      <c r="B118" s="1" t="s">
        <v>28</v>
      </c>
      <c r="C118" s="1" t="s">
        <v>29</v>
      </c>
      <c r="D118" s="1" t="s">
        <v>30</v>
      </c>
      <c r="E118" s="1" t="s">
        <v>31</v>
      </c>
      <c r="F118" s="1" t="s">
        <v>618</v>
      </c>
      <c r="G118" s="1" t="s">
        <v>618</v>
      </c>
      <c r="H118" s="1" t="s">
        <v>54</v>
      </c>
      <c r="I118" s="1" t="s">
        <v>86</v>
      </c>
      <c r="J118" s="1" t="s">
        <v>212</v>
      </c>
      <c r="K118" s="1" t="s">
        <v>693</v>
      </c>
      <c r="L118" s="1" t="s">
        <v>214</v>
      </c>
      <c r="M118" t="s">
        <v>1724</v>
      </c>
      <c r="N118" t="s">
        <v>1883</v>
      </c>
      <c r="O118" t="s">
        <v>1724</v>
      </c>
      <c r="P118" t="s">
        <v>1952</v>
      </c>
      <c r="Q118" s="1" t="s">
        <v>690</v>
      </c>
      <c r="R118" s="1" t="s">
        <v>61</v>
      </c>
      <c r="S118" s="1" t="s">
        <v>63</v>
      </c>
      <c r="T118" s="1" t="s">
        <v>63</v>
      </c>
      <c r="U118" s="1" t="s">
        <v>40</v>
      </c>
      <c r="V118" s="1" t="s">
        <v>41</v>
      </c>
      <c r="W118" s="1" t="s">
        <v>696</v>
      </c>
      <c r="X118" s="1" t="s">
        <v>697</v>
      </c>
      <c r="Y118" s="1" t="s">
        <v>44</v>
      </c>
      <c r="Z118" s="1" t="b">
        <v>1</v>
      </c>
      <c r="AA118" s="1"/>
      <c r="AB118" s="1" t="s">
        <v>45</v>
      </c>
      <c r="AC118" s="1"/>
    </row>
    <row r="119" spans="1:29" x14ac:dyDescent="0.35">
      <c r="A119" s="2" t="s">
        <v>27</v>
      </c>
      <c r="B119" s="2" t="s">
        <v>28</v>
      </c>
      <c r="C119" s="2" t="s">
        <v>29</v>
      </c>
      <c r="D119" s="2" t="s">
        <v>30</v>
      </c>
      <c r="E119" s="2" t="s">
        <v>31</v>
      </c>
      <c r="F119" s="2" t="s">
        <v>618</v>
      </c>
      <c r="G119" s="2" t="s">
        <v>618</v>
      </c>
      <c r="H119" s="2" t="s">
        <v>54</v>
      </c>
      <c r="I119" s="2" t="s">
        <v>86</v>
      </c>
      <c r="J119" s="2" t="s">
        <v>212</v>
      </c>
      <c r="K119" s="2" t="s">
        <v>698</v>
      </c>
      <c r="L119" s="2" t="s">
        <v>214</v>
      </c>
      <c r="M119" t="s">
        <v>1725</v>
      </c>
      <c r="N119" t="s">
        <v>1883</v>
      </c>
      <c r="O119" t="s">
        <v>1725</v>
      </c>
      <c r="P119" t="s">
        <v>1953</v>
      </c>
      <c r="Q119" s="2" t="s">
        <v>701</v>
      </c>
      <c r="R119" s="2" t="s">
        <v>702</v>
      </c>
      <c r="S119" s="2" t="s">
        <v>63</v>
      </c>
      <c r="T119" s="2" t="s">
        <v>63</v>
      </c>
      <c r="U119" s="2" t="s">
        <v>40</v>
      </c>
      <c r="V119" s="2" t="s">
        <v>41</v>
      </c>
      <c r="W119" s="2" t="s">
        <v>703</v>
      </c>
      <c r="X119" s="2" t="s">
        <v>704</v>
      </c>
      <c r="Y119" s="2" t="s">
        <v>44</v>
      </c>
      <c r="Z119" s="2" t="b">
        <v>1</v>
      </c>
      <c r="AA119" s="2"/>
      <c r="AB119" s="2" t="s">
        <v>45</v>
      </c>
      <c r="AC119" s="2"/>
    </row>
    <row r="120" spans="1:29" x14ac:dyDescent="0.35">
      <c r="A120" s="1" t="s">
        <v>27</v>
      </c>
      <c r="B120" s="1" t="s">
        <v>28</v>
      </c>
      <c r="C120" s="1" t="s">
        <v>29</v>
      </c>
      <c r="D120" s="1" t="s">
        <v>30</v>
      </c>
      <c r="E120" s="1" t="s">
        <v>31</v>
      </c>
      <c r="F120" s="1" t="s">
        <v>618</v>
      </c>
      <c r="G120" s="1" t="s">
        <v>618</v>
      </c>
      <c r="H120" s="1" t="s">
        <v>54</v>
      </c>
      <c r="I120" s="1" t="s">
        <v>86</v>
      </c>
      <c r="J120" s="1" t="s">
        <v>212</v>
      </c>
      <c r="K120" s="1" t="s">
        <v>705</v>
      </c>
      <c r="L120" s="1" t="s">
        <v>214</v>
      </c>
      <c r="M120" t="s">
        <v>1954</v>
      </c>
      <c r="N120" t="s">
        <v>1955</v>
      </c>
      <c r="O120" t="s">
        <v>1954</v>
      </c>
      <c r="P120" t="s">
        <v>1956</v>
      </c>
      <c r="Q120" s="1" t="s">
        <v>708</v>
      </c>
      <c r="R120" s="1" t="s">
        <v>702</v>
      </c>
      <c r="S120" s="1" t="s">
        <v>63</v>
      </c>
      <c r="T120" s="1" t="s">
        <v>63</v>
      </c>
      <c r="U120" s="1" t="s">
        <v>40</v>
      </c>
      <c r="V120" s="1" t="s">
        <v>41</v>
      </c>
      <c r="W120" s="1" t="s">
        <v>709</v>
      </c>
      <c r="X120" s="1" t="s">
        <v>710</v>
      </c>
      <c r="Y120" s="1" t="s">
        <v>44</v>
      </c>
      <c r="Z120" s="1" t="b">
        <v>1</v>
      </c>
      <c r="AA120" s="1"/>
      <c r="AB120" s="1" t="s">
        <v>45</v>
      </c>
      <c r="AC120" s="1"/>
    </row>
    <row r="121" spans="1:29" x14ac:dyDescent="0.35">
      <c r="A121" s="2" t="s">
        <v>27</v>
      </c>
      <c r="B121" s="2" t="s">
        <v>28</v>
      </c>
      <c r="C121" s="2" t="s">
        <v>29</v>
      </c>
      <c r="D121" s="2" t="s">
        <v>30</v>
      </c>
      <c r="E121" s="2" t="s">
        <v>31</v>
      </c>
      <c r="F121" s="2" t="s">
        <v>618</v>
      </c>
      <c r="G121" s="2" t="s">
        <v>618</v>
      </c>
      <c r="H121" s="2" t="s">
        <v>54</v>
      </c>
      <c r="I121" s="2" t="s">
        <v>86</v>
      </c>
      <c r="J121" s="2" t="s">
        <v>212</v>
      </c>
      <c r="K121" s="2" t="s">
        <v>711</v>
      </c>
      <c r="L121" s="2" t="s">
        <v>214</v>
      </c>
      <c r="M121" t="s">
        <v>1957</v>
      </c>
      <c r="N121" t="s">
        <v>1955</v>
      </c>
      <c r="O121" t="s">
        <v>1957</v>
      </c>
      <c r="P121" t="s">
        <v>1958</v>
      </c>
      <c r="Q121" s="2" t="s">
        <v>714</v>
      </c>
      <c r="R121" s="2" t="s">
        <v>62</v>
      </c>
      <c r="S121" s="2" t="s">
        <v>63</v>
      </c>
      <c r="T121" s="2" t="s">
        <v>63</v>
      </c>
      <c r="U121" s="2" t="s">
        <v>40</v>
      </c>
      <c r="V121" s="2" t="s">
        <v>41</v>
      </c>
      <c r="W121" s="2" t="s">
        <v>715</v>
      </c>
      <c r="X121" s="2" t="s">
        <v>716</v>
      </c>
      <c r="Y121" s="2" t="s">
        <v>44</v>
      </c>
      <c r="Z121" s="2" t="b">
        <v>1</v>
      </c>
      <c r="AA121" s="2"/>
      <c r="AB121" s="2" t="s">
        <v>45</v>
      </c>
      <c r="AC121" s="2"/>
    </row>
    <row r="122" spans="1:29" x14ac:dyDescent="0.35">
      <c r="A122" s="1" t="s">
        <v>27</v>
      </c>
      <c r="B122" s="1" t="s">
        <v>28</v>
      </c>
      <c r="C122" s="1" t="s">
        <v>29</v>
      </c>
      <c r="D122" s="1" t="s">
        <v>30</v>
      </c>
      <c r="E122" s="1" t="s">
        <v>31</v>
      </c>
      <c r="F122" s="1" t="s">
        <v>618</v>
      </c>
      <c r="G122" s="1" t="s">
        <v>618</v>
      </c>
      <c r="H122" s="1" t="s">
        <v>54</v>
      </c>
      <c r="I122" s="1" t="s">
        <v>86</v>
      </c>
      <c r="J122" s="1" t="s">
        <v>212</v>
      </c>
      <c r="K122" s="1" t="s">
        <v>717</v>
      </c>
      <c r="L122" s="1" t="s">
        <v>214</v>
      </c>
      <c r="M122" t="s">
        <v>1959</v>
      </c>
      <c r="N122" t="s">
        <v>1955</v>
      </c>
      <c r="O122" t="s">
        <v>1959</v>
      </c>
      <c r="P122" t="s">
        <v>1960</v>
      </c>
      <c r="Q122" s="1" t="s">
        <v>720</v>
      </c>
      <c r="R122" s="1" t="s">
        <v>62</v>
      </c>
      <c r="S122" s="1" t="s">
        <v>63</v>
      </c>
      <c r="T122" s="1" t="s">
        <v>63</v>
      </c>
      <c r="U122" s="1" t="s">
        <v>40</v>
      </c>
      <c r="V122" s="1" t="s">
        <v>41</v>
      </c>
      <c r="W122" s="1" t="s">
        <v>721</v>
      </c>
      <c r="X122" s="1" t="s">
        <v>722</v>
      </c>
      <c r="Y122" s="1" t="s">
        <v>44</v>
      </c>
      <c r="Z122" s="1" t="b">
        <v>1</v>
      </c>
      <c r="AA122" s="1"/>
      <c r="AB122" s="1" t="s">
        <v>45</v>
      </c>
      <c r="AC122" s="1"/>
    </row>
    <row r="123" spans="1:29" x14ac:dyDescent="0.35">
      <c r="A123" s="2" t="s">
        <v>27</v>
      </c>
      <c r="B123" s="2" t="s">
        <v>28</v>
      </c>
      <c r="C123" s="2" t="s">
        <v>29</v>
      </c>
      <c r="D123" s="2" t="s">
        <v>30</v>
      </c>
      <c r="E123" s="2" t="s">
        <v>31</v>
      </c>
      <c r="F123" s="2" t="s">
        <v>618</v>
      </c>
      <c r="G123" s="2" t="s">
        <v>618</v>
      </c>
      <c r="H123" s="2" t="s">
        <v>54</v>
      </c>
      <c r="I123" s="2" t="s">
        <v>86</v>
      </c>
      <c r="J123" s="2" t="s">
        <v>212</v>
      </c>
      <c r="K123" s="2" t="s">
        <v>723</v>
      </c>
      <c r="L123" s="2" t="s">
        <v>214</v>
      </c>
      <c r="M123" t="s">
        <v>1961</v>
      </c>
      <c r="N123" t="s">
        <v>1955</v>
      </c>
      <c r="O123" t="s">
        <v>1961</v>
      </c>
      <c r="P123" t="s">
        <v>1962</v>
      </c>
      <c r="Q123" s="2" t="s">
        <v>217</v>
      </c>
      <c r="R123" s="2" t="s">
        <v>62</v>
      </c>
      <c r="S123" s="2" t="s">
        <v>63</v>
      </c>
      <c r="T123" s="2" t="s">
        <v>63</v>
      </c>
      <c r="U123" s="2" t="s">
        <v>40</v>
      </c>
      <c r="V123" s="2" t="s">
        <v>41</v>
      </c>
      <c r="W123" s="2" t="s">
        <v>726</v>
      </c>
      <c r="X123" s="2" t="s">
        <v>727</v>
      </c>
      <c r="Y123" s="2" t="s">
        <v>44</v>
      </c>
      <c r="Z123" s="2" t="b">
        <v>1</v>
      </c>
      <c r="AA123" s="2"/>
      <c r="AB123" s="2" t="s">
        <v>45</v>
      </c>
      <c r="AC123" s="2"/>
    </row>
    <row r="124" spans="1:29" x14ac:dyDescent="0.35">
      <c r="A124" s="1" t="s">
        <v>27</v>
      </c>
      <c r="B124" s="1" t="s">
        <v>28</v>
      </c>
      <c r="C124" s="1" t="s">
        <v>29</v>
      </c>
      <c r="D124" s="1" t="s">
        <v>30</v>
      </c>
      <c r="E124" s="1" t="s">
        <v>31</v>
      </c>
      <c r="F124" s="1" t="s">
        <v>618</v>
      </c>
      <c r="G124" s="1" t="s">
        <v>618</v>
      </c>
      <c r="H124" s="1" t="s">
        <v>54</v>
      </c>
      <c r="I124" s="1" t="s">
        <v>86</v>
      </c>
      <c r="J124" s="1" t="s">
        <v>212</v>
      </c>
      <c r="K124" s="1" t="s">
        <v>728</v>
      </c>
      <c r="L124" s="1" t="s">
        <v>214</v>
      </c>
      <c r="M124" t="s">
        <v>1963</v>
      </c>
      <c r="N124" t="s">
        <v>1955</v>
      </c>
      <c r="O124" t="s">
        <v>1963</v>
      </c>
      <c r="P124" t="s">
        <v>1964</v>
      </c>
      <c r="Q124" s="1" t="s">
        <v>714</v>
      </c>
      <c r="R124" s="1" t="s">
        <v>62</v>
      </c>
      <c r="S124" s="1" t="s">
        <v>63</v>
      </c>
      <c r="T124" s="1" t="s">
        <v>63</v>
      </c>
      <c r="U124" s="1" t="s">
        <v>40</v>
      </c>
      <c r="V124" s="1" t="s">
        <v>41</v>
      </c>
      <c r="W124" s="1" t="s">
        <v>731</v>
      </c>
      <c r="X124" s="1" t="s">
        <v>732</v>
      </c>
      <c r="Y124" s="1" t="s">
        <v>44</v>
      </c>
      <c r="Z124" s="1" t="b">
        <v>1</v>
      </c>
      <c r="AA124" s="1"/>
      <c r="AB124" s="1" t="s">
        <v>45</v>
      </c>
      <c r="AC124" s="1"/>
    </row>
    <row r="125" spans="1:29" x14ac:dyDescent="0.35">
      <c r="A125" s="2" t="s">
        <v>27</v>
      </c>
      <c r="B125" s="2" t="s">
        <v>28</v>
      </c>
      <c r="C125" s="2" t="s">
        <v>29</v>
      </c>
      <c r="D125" s="2" t="s">
        <v>30</v>
      </c>
      <c r="E125" s="2" t="s">
        <v>31</v>
      </c>
      <c r="F125" s="2" t="s">
        <v>618</v>
      </c>
      <c r="G125" s="2" t="s">
        <v>618</v>
      </c>
      <c r="H125" s="2" t="s">
        <v>54</v>
      </c>
      <c r="I125" s="2" t="s">
        <v>86</v>
      </c>
      <c r="J125" s="2" t="s">
        <v>212</v>
      </c>
      <c r="K125" s="2" t="s">
        <v>728</v>
      </c>
      <c r="L125" s="2" t="s">
        <v>214</v>
      </c>
      <c r="M125" t="s">
        <v>1965</v>
      </c>
      <c r="N125" t="s">
        <v>1955</v>
      </c>
      <c r="O125" t="s">
        <v>1965</v>
      </c>
      <c r="P125" t="s">
        <v>1966</v>
      </c>
      <c r="Q125" s="2" t="s">
        <v>714</v>
      </c>
      <c r="R125" s="2" t="s">
        <v>62</v>
      </c>
      <c r="S125" s="2" t="s">
        <v>63</v>
      </c>
      <c r="T125" s="2" t="s">
        <v>63</v>
      </c>
      <c r="U125" s="2" t="s">
        <v>40</v>
      </c>
      <c r="V125" s="2" t="s">
        <v>41</v>
      </c>
      <c r="W125" s="2" t="s">
        <v>735</v>
      </c>
      <c r="X125" s="2" t="s">
        <v>736</v>
      </c>
      <c r="Y125" s="2" t="s">
        <v>44</v>
      </c>
      <c r="Z125" s="2" t="b">
        <v>1</v>
      </c>
      <c r="AA125" s="2"/>
      <c r="AB125" s="2" t="s">
        <v>45</v>
      </c>
      <c r="AC125" s="2"/>
    </row>
    <row r="126" spans="1:29" x14ac:dyDescent="0.35">
      <c r="A126" s="1" t="s">
        <v>27</v>
      </c>
      <c r="B126" s="1" t="s">
        <v>28</v>
      </c>
      <c r="C126" s="1" t="s">
        <v>29</v>
      </c>
      <c r="D126" s="1" t="s">
        <v>30</v>
      </c>
      <c r="E126" s="1" t="s">
        <v>31</v>
      </c>
      <c r="F126" s="1" t="s">
        <v>618</v>
      </c>
      <c r="G126" s="1" t="s">
        <v>618</v>
      </c>
      <c r="H126" s="1" t="s">
        <v>54</v>
      </c>
      <c r="I126" s="1" t="s">
        <v>86</v>
      </c>
      <c r="J126" s="1" t="s">
        <v>212</v>
      </c>
      <c r="K126" s="1" t="s">
        <v>737</v>
      </c>
      <c r="L126" s="1" t="s">
        <v>214</v>
      </c>
      <c r="M126" t="s">
        <v>1967</v>
      </c>
      <c r="N126" t="s">
        <v>1955</v>
      </c>
      <c r="O126" t="s">
        <v>1967</v>
      </c>
      <c r="P126" t="s">
        <v>1968</v>
      </c>
      <c r="Q126" s="1" t="s">
        <v>714</v>
      </c>
      <c r="R126" s="1" t="s">
        <v>62</v>
      </c>
      <c r="S126" s="1" t="s">
        <v>63</v>
      </c>
      <c r="T126" s="1" t="s">
        <v>63</v>
      </c>
      <c r="U126" s="1" t="s">
        <v>40</v>
      </c>
      <c r="V126" s="1" t="s">
        <v>41</v>
      </c>
      <c r="W126" s="1" t="s">
        <v>740</v>
      </c>
      <c r="X126" s="1" t="s">
        <v>741</v>
      </c>
      <c r="Y126" s="1" t="s">
        <v>44</v>
      </c>
      <c r="Z126" s="1" t="b">
        <v>1</v>
      </c>
      <c r="AA126" s="1"/>
      <c r="AB126" s="1" t="s">
        <v>45</v>
      </c>
      <c r="AC126" s="1"/>
    </row>
    <row r="127" spans="1:29" x14ac:dyDescent="0.35">
      <c r="A127" s="2" t="s">
        <v>27</v>
      </c>
      <c r="B127" s="2" t="s">
        <v>28</v>
      </c>
      <c r="C127" s="2" t="s">
        <v>29</v>
      </c>
      <c r="D127" s="2" t="s">
        <v>30</v>
      </c>
      <c r="E127" s="2" t="s">
        <v>31</v>
      </c>
      <c r="F127" s="2" t="s">
        <v>618</v>
      </c>
      <c r="G127" s="2" t="s">
        <v>618</v>
      </c>
      <c r="H127" s="2" t="s">
        <v>54</v>
      </c>
      <c r="I127" s="2" t="s">
        <v>86</v>
      </c>
      <c r="J127" s="2" t="s">
        <v>212</v>
      </c>
      <c r="K127" s="2" t="s">
        <v>737</v>
      </c>
      <c r="L127" s="2" t="s">
        <v>214</v>
      </c>
      <c r="M127" t="s">
        <v>1969</v>
      </c>
      <c r="N127" t="s">
        <v>1955</v>
      </c>
      <c r="O127" t="s">
        <v>1969</v>
      </c>
      <c r="P127" t="s">
        <v>1970</v>
      </c>
      <c r="Q127" s="2" t="s">
        <v>714</v>
      </c>
      <c r="R127" s="2" t="s">
        <v>62</v>
      </c>
      <c r="S127" s="2" t="s">
        <v>63</v>
      </c>
      <c r="T127" s="2" t="s">
        <v>63</v>
      </c>
      <c r="U127" s="2" t="s">
        <v>40</v>
      </c>
      <c r="V127" s="2" t="s">
        <v>41</v>
      </c>
      <c r="W127" s="2" t="s">
        <v>744</v>
      </c>
      <c r="X127" s="2" t="s">
        <v>745</v>
      </c>
      <c r="Y127" s="2" t="s">
        <v>44</v>
      </c>
      <c r="Z127" s="2" t="b">
        <v>1</v>
      </c>
      <c r="AA127" s="2"/>
      <c r="AB127" s="2" t="s">
        <v>45</v>
      </c>
      <c r="AC127" s="2"/>
    </row>
    <row r="128" spans="1:29" x14ac:dyDescent="0.35">
      <c r="A128" s="1" t="s">
        <v>27</v>
      </c>
      <c r="B128" s="1" t="s">
        <v>28</v>
      </c>
      <c r="C128" s="1" t="s">
        <v>29</v>
      </c>
      <c r="D128" s="1" t="s">
        <v>30</v>
      </c>
      <c r="E128" s="1" t="s">
        <v>31</v>
      </c>
      <c r="F128" s="1" t="s">
        <v>618</v>
      </c>
      <c r="G128" s="1" t="s">
        <v>618</v>
      </c>
      <c r="H128" s="1" t="s">
        <v>54</v>
      </c>
      <c r="I128" s="1" t="s">
        <v>86</v>
      </c>
      <c r="J128" s="1" t="s">
        <v>212</v>
      </c>
      <c r="K128" s="1" t="s">
        <v>746</v>
      </c>
      <c r="L128" s="1" t="s">
        <v>214</v>
      </c>
      <c r="M128" t="s">
        <v>1971</v>
      </c>
      <c r="N128" t="s">
        <v>1955</v>
      </c>
      <c r="O128" t="s">
        <v>1971</v>
      </c>
      <c r="P128" t="s">
        <v>1972</v>
      </c>
      <c r="Q128" s="1" t="s">
        <v>714</v>
      </c>
      <c r="R128" s="1" t="s">
        <v>62</v>
      </c>
      <c r="S128" s="1" t="s">
        <v>63</v>
      </c>
      <c r="T128" s="1" t="s">
        <v>63</v>
      </c>
      <c r="U128" s="1" t="s">
        <v>40</v>
      </c>
      <c r="V128" s="1" t="s">
        <v>41</v>
      </c>
      <c r="W128" s="1" t="s">
        <v>749</v>
      </c>
      <c r="X128" s="1" t="s">
        <v>750</v>
      </c>
      <c r="Y128" s="1" t="s">
        <v>44</v>
      </c>
      <c r="Z128" s="1" t="b">
        <v>1</v>
      </c>
      <c r="AA128" s="1"/>
      <c r="AB128" s="1" t="s">
        <v>45</v>
      </c>
      <c r="AC128" s="1"/>
    </row>
    <row r="129" spans="1:29" x14ac:dyDescent="0.35">
      <c r="A129" s="2" t="s">
        <v>27</v>
      </c>
      <c r="B129" s="2" t="s">
        <v>28</v>
      </c>
      <c r="C129" s="2" t="s">
        <v>29</v>
      </c>
      <c r="D129" s="2" t="s">
        <v>30</v>
      </c>
      <c r="E129" s="2" t="s">
        <v>31</v>
      </c>
      <c r="F129" s="2" t="s">
        <v>618</v>
      </c>
      <c r="G129" s="2" t="s">
        <v>618</v>
      </c>
      <c r="H129" s="2" t="s">
        <v>54</v>
      </c>
      <c r="I129" s="2" t="s">
        <v>86</v>
      </c>
      <c r="J129" s="2" t="s">
        <v>212</v>
      </c>
      <c r="K129" s="2" t="s">
        <v>746</v>
      </c>
      <c r="L129" s="2" t="s">
        <v>214</v>
      </c>
      <c r="M129" t="s">
        <v>1973</v>
      </c>
      <c r="N129" t="s">
        <v>1955</v>
      </c>
      <c r="O129" t="s">
        <v>1973</v>
      </c>
      <c r="P129" t="s">
        <v>1974</v>
      </c>
      <c r="Q129" s="2" t="s">
        <v>714</v>
      </c>
      <c r="R129" s="2" t="s">
        <v>62</v>
      </c>
      <c r="S129" s="2" t="s">
        <v>63</v>
      </c>
      <c r="T129" s="2" t="s">
        <v>63</v>
      </c>
      <c r="U129" s="2" t="s">
        <v>40</v>
      </c>
      <c r="V129" s="2" t="s">
        <v>41</v>
      </c>
      <c r="W129" s="2" t="s">
        <v>753</v>
      </c>
      <c r="X129" s="2" t="s">
        <v>754</v>
      </c>
      <c r="Y129" s="2" t="s">
        <v>44</v>
      </c>
      <c r="Z129" s="2" t="b">
        <v>1</v>
      </c>
      <c r="AA129" s="2"/>
      <c r="AB129" s="2" t="s">
        <v>45</v>
      </c>
      <c r="AC129" s="2"/>
    </row>
    <row r="130" spans="1:29" x14ac:dyDescent="0.35">
      <c r="A130" s="1" t="s">
        <v>27</v>
      </c>
      <c r="B130" s="1" t="s">
        <v>28</v>
      </c>
      <c r="C130" s="1" t="s">
        <v>29</v>
      </c>
      <c r="D130" s="1" t="s">
        <v>30</v>
      </c>
      <c r="E130" s="1" t="s">
        <v>31</v>
      </c>
      <c r="F130" s="1" t="s">
        <v>618</v>
      </c>
      <c r="G130" s="1" t="s">
        <v>618</v>
      </c>
      <c r="H130" s="1" t="s">
        <v>54</v>
      </c>
      <c r="I130" s="1" t="s">
        <v>86</v>
      </c>
      <c r="J130" s="1" t="s">
        <v>212</v>
      </c>
      <c r="K130" s="1" t="s">
        <v>755</v>
      </c>
      <c r="L130" s="1" t="s">
        <v>214</v>
      </c>
      <c r="M130" t="s">
        <v>1975</v>
      </c>
      <c r="N130" t="s">
        <v>1955</v>
      </c>
      <c r="O130" t="s">
        <v>1975</v>
      </c>
      <c r="P130" t="s">
        <v>1976</v>
      </c>
      <c r="Q130" s="1" t="s">
        <v>714</v>
      </c>
      <c r="R130" s="1" t="s">
        <v>62</v>
      </c>
      <c r="S130" s="1" t="s">
        <v>63</v>
      </c>
      <c r="T130" s="1" t="s">
        <v>63</v>
      </c>
      <c r="U130" s="1" t="s">
        <v>40</v>
      </c>
      <c r="V130" s="1" t="s">
        <v>41</v>
      </c>
      <c r="W130" s="1" t="s">
        <v>758</v>
      </c>
      <c r="X130" s="1" t="s">
        <v>759</v>
      </c>
      <c r="Y130" s="1" t="s">
        <v>44</v>
      </c>
      <c r="Z130" s="1" t="b">
        <v>1</v>
      </c>
      <c r="AA130" s="1"/>
      <c r="AB130" s="1" t="s">
        <v>45</v>
      </c>
      <c r="AC130" s="1"/>
    </row>
    <row r="131" spans="1:29" x14ac:dyDescent="0.35">
      <c r="A131" s="2" t="s">
        <v>27</v>
      </c>
      <c r="B131" s="2" t="s">
        <v>28</v>
      </c>
      <c r="C131" s="2" t="s">
        <v>29</v>
      </c>
      <c r="D131" s="2" t="s">
        <v>30</v>
      </c>
      <c r="E131" s="2" t="s">
        <v>31</v>
      </c>
      <c r="F131" s="2" t="s">
        <v>618</v>
      </c>
      <c r="G131" s="2" t="s">
        <v>618</v>
      </c>
      <c r="H131" s="2" t="s">
        <v>54</v>
      </c>
      <c r="I131" s="2" t="s">
        <v>86</v>
      </c>
      <c r="J131" s="2" t="s">
        <v>212</v>
      </c>
      <c r="K131" s="2" t="s">
        <v>755</v>
      </c>
      <c r="L131" s="2" t="s">
        <v>214</v>
      </c>
      <c r="M131" t="s">
        <v>1977</v>
      </c>
      <c r="N131" t="s">
        <v>1955</v>
      </c>
      <c r="O131" t="s">
        <v>1977</v>
      </c>
      <c r="P131" t="s">
        <v>1978</v>
      </c>
      <c r="Q131" s="2" t="s">
        <v>714</v>
      </c>
      <c r="R131" s="2" t="s">
        <v>62</v>
      </c>
      <c r="S131" s="2" t="s">
        <v>63</v>
      </c>
      <c r="T131" s="2" t="s">
        <v>63</v>
      </c>
      <c r="U131" s="2" t="s">
        <v>40</v>
      </c>
      <c r="V131" s="2" t="s">
        <v>41</v>
      </c>
      <c r="W131" s="2" t="s">
        <v>762</v>
      </c>
      <c r="X131" s="2" t="s">
        <v>763</v>
      </c>
      <c r="Y131" s="2" t="s">
        <v>44</v>
      </c>
      <c r="Z131" s="2" t="b">
        <v>1</v>
      </c>
      <c r="AA131" s="2"/>
      <c r="AB131" s="2" t="s">
        <v>45</v>
      </c>
      <c r="AC131" s="2"/>
    </row>
    <row r="132" spans="1:29" x14ac:dyDescent="0.35">
      <c r="A132" s="1" t="s">
        <v>27</v>
      </c>
      <c r="B132" s="1" t="s">
        <v>28</v>
      </c>
      <c r="C132" s="1" t="s">
        <v>29</v>
      </c>
      <c r="D132" s="1" t="s">
        <v>30</v>
      </c>
      <c r="E132" s="1" t="s">
        <v>31</v>
      </c>
      <c r="F132" s="1" t="s">
        <v>618</v>
      </c>
      <c r="G132" s="1" t="s">
        <v>618</v>
      </c>
      <c r="H132" s="1" t="s">
        <v>54</v>
      </c>
      <c r="I132" s="1" t="s">
        <v>86</v>
      </c>
      <c r="J132" s="1" t="s">
        <v>212</v>
      </c>
      <c r="K132" s="1" t="s">
        <v>764</v>
      </c>
      <c r="L132" s="1" t="s">
        <v>214</v>
      </c>
      <c r="M132" t="s">
        <v>1979</v>
      </c>
      <c r="N132" t="s">
        <v>1955</v>
      </c>
      <c r="O132" t="s">
        <v>1979</v>
      </c>
      <c r="P132" t="s">
        <v>1980</v>
      </c>
      <c r="Q132" s="1" t="s">
        <v>714</v>
      </c>
      <c r="R132" s="1" t="s">
        <v>62</v>
      </c>
      <c r="S132" s="1" t="s">
        <v>63</v>
      </c>
      <c r="T132" s="1" t="s">
        <v>63</v>
      </c>
      <c r="U132" s="1" t="s">
        <v>40</v>
      </c>
      <c r="V132" s="1" t="s">
        <v>41</v>
      </c>
      <c r="W132" s="1" t="s">
        <v>767</v>
      </c>
      <c r="X132" s="1" t="s">
        <v>768</v>
      </c>
      <c r="Y132" s="1" t="s">
        <v>44</v>
      </c>
      <c r="Z132" s="1" t="b">
        <v>1</v>
      </c>
      <c r="AA132" s="1"/>
      <c r="AB132" s="1" t="s">
        <v>45</v>
      </c>
      <c r="AC132" s="1"/>
    </row>
    <row r="133" spans="1:29" x14ac:dyDescent="0.35">
      <c r="A133" s="2" t="s">
        <v>27</v>
      </c>
      <c r="B133" s="2" t="s">
        <v>28</v>
      </c>
      <c r="C133" s="2" t="s">
        <v>29</v>
      </c>
      <c r="D133" s="2" t="s">
        <v>30</v>
      </c>
      <c r="E133" s="2" t="s">
        <v>31</v>
      </c>
      <c r="F133" s="2" t="s">
        <v>618</v>
      </c>
      <c r="G133" s="2" t="s">
        <v>618</v>
      </c>
      <c r="H133" s="2" t="s">
        <v>54</v>
      </c>
      <c r="I133" s="2" t="s">
        <v>86</v>
      </c>
      <c r="J133" s="2" t="s">
        <v>212</v>
      </c>
      <c r="K133" s="2" t="s">
        <v>764</v>
      </c>
      <c r="L133" s="2" t="s">
        <v>214</v>
      </c>
      <c r="M133" t="s">
        <v>1981</v>
      </c>
      <c r="N133" t="s">
        <v>1955</v>
      </c>
      <c r="O133" t="s">
        <v>1981</v>
      </c>
      <c r="P133" t="s">
        <v>1982</v>
      </c>
      <c r="Q133" s="2" t="s">
        <v>714</v>
      </c>
      <c r="R133" s="2" t="s">
        <v>62</v>
      </c>
      <c r="S133" s="2" t="s">
        <v>63</v>
      </c>
      <c r="T133" s="2" t="s">
        <v>63</v>
      </c>
      <c r="U133" s="2" t="s">
        <v>40</v>
      </c>
      <c r="V133" s="2" t="s">
        <v>41</v>
      </c>
      <c r="W133" s="2" t="s">
        <v>771</v>
      </c>
      <c r="X133" s="2" t="s">
        <v>772</v>
      </c>
      <c r="Y133" s="2" t="s">
        <v>44</v>
      </c>
      <c r="Z133" s="2" t="b">
        <v>1</v>
      </c>
      <c r="AA133" s="2"/>
      <c r="AB133" s="2" t="s">
        <v>45</v>
      </c>
      <c r="AC133" s="2"/>
    </row>
    <row r="134" spans="1:29" x14ac:dyDescent="0.35">
      <c r="A134" s="1" t="s">
        <v>27</v>
      </c>
      <c r="B134" s="1" t="s">
        <v>28</v>
      </c>
      <c r="C134" s="1" t="s">
        <v>29</v>
      </c>
      <c r="D134" s="1" t="s">
        <v>30</v>
      </c>
      <c r="E134" s="1" t="s">
        <v>31</v>
      </c>
      <c r="F134" s="1" t="s">
        <v>618</v>
      </c>
      <c r="G134" s="1" t="s">
        <v>618</v>
      </c>
      <c r="H134" s="1" t="s">
        <v>54</v>
      </c>
      <c r="I134" s="1" t="s">
        <v>86</v>
      </c>
      <c r="J134" s="1" t="s">
        <v>212</v>
      </c>
      <c r="K134" s="1" t="s">
        <v>773</v>
      </c>
      <c r="L134" s="1" t="s">
        <v>214</v>
      </c>
      <c r="M134" t="s">
        <v>1983</v>
      </c>
      <c r="N134" t="s">
        <v>1955</v>
      </c>
      <c r="O134" t="s">
        <v>1983</v>
      </c>
      <c r="P134" t="s">
        <v>1984</v>
      </c>
      <c r="Q134" s="1" t="s">
        <v>714</v>
      </c>
      <c r="R134" s="1" t="s">
        <v>62</v>
      </c>
      <c r="S134" s="1" t="s">
        <v>63</v>
      </c>
      <c r="T134" s="1" t="s">
        <v>63</v>
      </c>
      <c r="U134" s="1" t="s">
        <v>40</v>
      </c>
      <c r="V134" s="1" t="s">
        <v>41</v>
      </c>
      <c r="W134" s="1" t="s">
        <v>776</v>
      </c>
      <c r="X134" s="1" t="s">
        <v>777</v>
      </c>
      <c r="Y134" s="1" t="s">
        <v>44</v>
      </c>
      <c r="Z134" s="1" t="b">
        <v>1</v>
      </c>
      <c r="AA134" s="1"/>
      <c r="AB134" s="1" t="s">
        <v>45</v>
      </c>
      <c r="AC134" s="1"/>
    </row>
    <row r="135" spans="1:29" x14ac:dyDescent="0.35">
      <c r="A135" s="2" t="s">
        <v>27</v>
      </c>
      <c r="B135" s="2" t="s">
        <v>28</v>
      </c>
      <c r="C135" s="2" t="s">
        <v>29</v>
      </c>
      <c r="D135" s="2" t="s">
        <v>30</v>
      </c>
      <c r="E135" s="2" t="s">
        <v>31</v>
      </c>
      <c r="F135" s="2" t="s">
        <v>618</v>
      </c>
      <c r="G135" s="2" t="s">
        <v>618</v>
      </c>
      <c r="H135" s="2" t="s">
        <v>54</v>
      </c>
      <c r="I135" s="2" t="s">
        <v>86</v>
      </c>
      <c r="J135" s="2" t="s">
        <v>212</v>
      </c>
      <c r="K135" s="2" t="s">
        <v>773</v>
      </c>
      <c r="L135" s="2" t="s">
        <v>214</v>
      </c>
      <c r="M135" t="s">
        <v>1985</v>
      </c>
      <c r="N135" t="s">
        <v>1955</v>
      </c>
      <c r="O135" t="s">
        <v>1985</v>
      </c>
      <c r="P135" t="s">
        <v>1986</v>
      </c>
      <c r="Q135" s="2" t="s">
        <v>714</v>
      </c>
      <c r="R135" s="2" t="s">
        <v>62</v>
      </c>
      <c r="S135" s="2" t="s">
        <v>63</v>
      </c>
      <c r="T135" s="2" t="s">
        <v>63</v>
      </c>
      <c r="U135" s="2" t="s">
        <v>40</v>
      </c>
      <c r="V135" s="2" t="s">
        <v>41</v>
      </c>
      <c r="W135" s="2" t="s">
        <v>780</v>
      </c>
      <c r="X135" s="2" t="s">
        <v>781</v>
      </c>
      <c r="Y135" s="2" t="s">
        <v>44</v>
      </c>
      <c r="Z135" s="2" t="b">
        <v>1</v>
      </c>
      <c r="AA135" s="2"/>
      <c r="AB135" s="2" t="s">
        <v>45</v>
      </c>
      <c r="AC135" s="2"/>
    </row>
    <row r="136" spans="1:29" x14ac:dyDescent="0.35">
      <c r="A136" s="1" t="s">
        <v>27</v>
      </c>
      <c r="B136" s="1" t="s">
        <v>28</v>
      </c>
      <c r="C136" s="1" t="s">
        <v>29</v>
      </c>
      <c r="D136" s="1" t="s">
        <v>30</v>
      </c>
      <c r="E136" s="1" t="s">
        <v>31</v>
      </c>
      <c r="F136" s="1" t="s">
        <v>618</v>
      </c>
      <c r="G136" s="1" t="s">
        <v>618</v>
      </c>
      <c r="H136" s="1" t="s">
        <v>54</v>
      </c>
      <c r="I136" s="1" t="s">
        <v>86</v>
      </c>
      <c r="J136" s="1" t="s">
        <v>212</v>
      </c>
      <c r="K136" s="1" t="s">
        <v>782</v>
      </c>
      <c r="L136" s="1" t="s">
        <v>214</v>
      </c>
      <c r="M136" t="s">
        <v>1987</v>
      </c>
      <c r="N136" t="s">
        <v>1955</v>
      </c>
      <c r="O136" t="s">
        <v>1987</v>
      </c>
      <c r="P136" t="s">
        <v>1988</v>
      </c>
      <c r="Q136" s="1" t="s">
        <v>714</v>
      </c>
      <c r="R136" s="1" t="s">
        <v>62</v>
      </c>
      <c r="S136" s="1" t="s">
        <v>63</v>
      </c>
      <c r="T136" s="1" t="s">
        <v>63</v>
      </c>
      <c r="U136" s="1" t="s">
        <v>40</v>
      </c>
      <c r="V136" s="1" t="s">
        <v>41</v>
      </c>
      <c r="W136" s="1" t="s">
        <v>785</v>
      </c>
      <c r="X136" s="1" t="s">
        <v>786</v>
      </c>
      <c r="Y136" s="1" t="s">
        <v>44</v>
      </c>
      <c r="Z136" s="1" t="b">
        <v>1</v>
      </c>
      <c r="AA136" s="1"/>
      <c r="AB136" s="1" t="s">
        <v>45</v>
      </c>
      <c r="AC136" s="1"/>
    </row>
    <row r="137" spans="1:29" x14ac:dyDescent="0.35">
      <c r="A137" s="2" t="s">
        <v>27</v>
      </c>
      <c r="B137" s="2" t="s">
        <v>28</v>
      </c>
      <c r="C137" s="2" t="s">
        <v>29</v>
      </c>
      <c r="D137" s="2" t="s">
        <v>30</v>
      </c>
      <c r="E137" s="2" t="s">
        <v>31</v>
      </c>
      <c r="F137" s="2" t="s">
        <v>618</v>
      </c>
      <c r="G137" s="2" t="s">
        <v>618</v>
      </c>
      <c r="H137" s="2" t="s">
        <v>54</v>
      </c>
      <c r="I137" s="2" t="s">
        <v>86</v>
      </c>
      <c r="J137" s="2" t="s">
        <v>212</v>
      </c>
      <c r="K137" s="2" t="s">
        <v>782</v>
      </c>
      <c r="L137" s="2" t="s">
        <v>214</v>
      </c>
      <c r="M137" t="s">
        <v>1989</v>
      </c>
      <c r="N137" t="s">
        <v>1955</v>
      </c>
      <c r="O137" t="s">
        <v>1989</v>
      </c>
      <c r="P137" t="s">
        <v>1990</v>
      </c>
      <c r="Q137" s="2" t="s">
        <v>714</v>
      </c>
      <c r="R137" s="2" t="s">
        <v>62</v>
      </c>
      <c r="S137" s="2" t="s">
        <v>63</v>
      </c>
      <c r="T137" s="2" t="s">
        <v>63</v>
      </c>
      <c r="U137" s="2" t="s">
        <v>40</v>
      </c>
      <c r="V137" s="2" t="s">
        <v>41</v>
      </c>
      <c r="W137" s="2" t="s">
        <v>789</v>
      </c>
      <c r="X137" s="2" t="s">
        <v>790</v>
      </c>
      <c r="Y137" s="2" t="s">
        <v>44</v>
      </c>
      <c r="Z137" s="2" t="b">
        <v>1</v>
      </c>
      <c r="AA137" s="2"/>
      <c r="AB137" s="2" t="s">
        <v>45</v>
      </c>
      <c r="AC137" s="2"/>
    </row>
    <row r="138" spans="1:29" x14ac:dyDescent="0.35">
      <c r="A138" s="1" t="s">
        <v>27</v>
      </c>
      <c r="B138" s="1" t="s">
        <v>28</v>
      </c>
      <c r="C138" s="1" t="s">
        <v>29</v>
      </c>
      <c r="D138" s="1" t="s">
        <v>30</v>
      </c>
      <c r="E138" s="1" t="s">
        <v>31</v>
      </c>
      <c r="F138" s="1" t="s">
        <v>618</v>
      </c>
      <c r="G138" s="1" t="s">
        <v>618</v>
      </c>
      <c r="H138" s="1" t="s">
        <v>54</v>
      </c>
      <c r="I138" s="1" t="s">
        <v>86</v>
      </c>
      <c r="J138" s="1" t="s">
        <v>212</v>
      </c>
      <c r="K138" s="1" t="s">
        <v>791</v>
      </c>
      <c r="L138" s="1" t="s">
        <v>214</v>
      </c>
      <c r="M138" t="s">
        <v>1991</v>
      </c>
      <c r="N138" t="s">
        <v>1955</v>
      </c>
      <c r="O138" t="s">
        <v>1991</v>
      </c>
      <c r="P138" t="s">
        <v>1992</v>
      </c>
      <c r="Q138" s="1" t="s">
        <v>714</v>
      </c>
      <c r="R138" s="1" t="s">
        <v>62</v>
      </c>
      <c r="S138" s="1" t="s">
        <v>63</v>
      </c>
      <c r="T138" s="1" t="s">
        <v>63</v>
      </c>
      <c r="U138" s="1" t="s">
        <v>40</v>
      </c>
      <c r="V138" s="1" t="s">
        <v>41</v>
      </c>
      <c r="W138" s="1" t="s">
        <v>794</v>
      </c>
      <c r="X138" s="1" t="s">
        <v>795</v>
      </c>
      <c r="Y138" s="1" t="s">
        <v>44</v>
      </c>
      <c r="Z138" s="1" t="b">
        <v>1</v>
      </c>
      <c r="AA138" s="1"/>
      <c r="AB138" s="1" t="s">
        <v>45</v>
      </c>
      <c r="AC138" s="1"/>
    </row>
    <row r="139" spans="1:29" x14ac:dyDescent="0.35">
      <c r="A139" s="2" t="s">
        <v>27</v>
      </c>
      <c r="B139" s="2" t="s">
        <v>28</v>
      </c>
      <c r="C139" s="2" t="s">
        <v>29</v>
      </c>
      <c r="D139" s="2" t="s">
        <v>30</v>
      </c>
      <c r="E139" s="2" t="s">
        <v>31</v>
      </c>
      <c r="F139" s="2" t="s">
        <v>618</v>
      </c>
      <c r="G139" s="2" t="s">
        <v>618</v>
      </c>
      <c r="H139" s="2" t="s">
        <v>54</v>
      </c>
      <c r="I139" s="2" t="s">
        <v>86</v>
      </c>
      <c r="J139" s="2" t="s">
        <v>212</v>
      </c>
      <c r="K139" s="2" t="s">
        <v>791</v>
      </c>
      <c r="L139" s="2" t="s">
        <v>214</v>
      </c>
      <c r="M139" t="s">
        <v>1993</v>
      </c>
      <c r="N139" t="s">
        <v>1955</v>
      </c>
      <c r="O139" t="s">
        <v>1993</v>
      </c>
      <c r="P139" t="s">
        <v>1994</v>
      </c>
      <c r="Q139" s="2" t="s">
        <v>714</v>
      </c>
      <c r="R139" s="2" t="s">
        <v>62</v>
      </c>
      <c r="S139" s="2" t="s">
        <v>63</v>
      </c>
      <c r="T139" s="2" t="s">
        <v>63</v>
      </c>
      <c r="U139" s="2" t="s">
        <v>40</v>
      </c>
      <c r="V139" s="2" t="s">
        <v>41</v>
      </c>
      <c r="W139" s="2" t="s">
        <v>798</v>
      </c>
      <c r="X139" s="2" t="s">
        <v>799</v>
      </c>
      <c r="Y139" s="2" t="s">
        <v>44</v>
      </c>
      <c r="Z139" s="2" t="b">
        <v>1</v>
      </c>
      <c r="AA139" s="2"/>
      <c r="AB139" s="2" t="s">
        <v>45</v>
      </c>
      <c r="AC139" s="2"/>
    </row>
    <row r="140" spans="1:29" x14ac:dyDescent="0.35">
      <c r="A140" s="1" t="s">
        <v>27</v>
      </c>
      <c r="B140" s="1" t="s">
        <v>28</v>
      </c>
      <c r="C140" s="1" t="s">
        <v>29</v>
      </c>
      <c r="D140" s="1" t="s">
        <v>30</v>
      </c>
      <c r="E140" s="1" t="s">
        <v>31</v>
      </c>
      <c r="F140" s="1" t="s">
        <v>618</v>
      </c>
      <c r="G140" s="1" t="s">
        <v>618</v>
      </c>
      <c r="H140" s="1" t="s">
        <v>54</v>
      </c>
      <c r="I140" s="1" t="s">
        <v>86</v>
      </c>
      <c r="J140" s="1" t="s">
        <v>212</v>
      </c>
      <c r="K140" s="1" t="s">
        <v>800</v>
      </c>
      <c r="L140" s="1" t="s">
        <v>214</v>
      </c>
      <c r="M140" t="s">
        <v>1995</v>
      </c>
      <c r="N140" t="s">
        <v>1955</v>
      </c>
      <c r="O140" t="s">
        <v>1995</v>
      </c>
      <c r="P140" t="s">
        <v>1996</v>
      </c>
      <c r="Q140" s="1" t="s">
        <v>714</v>
      </c>
      <c r="R140" s="1" t="s">
        <v>62</v>
      </c>
      <c r="S140" s="1" t="s">
        <v>63</v>
      </c>
      <c r="T140" s="1" t="s">
        <v>63</v>
      </c>
      <c r="U140" s="1" t="s">
        <v>40</v>
      </c>
      <c r="V140" s="1" t="s">
        <v>41</v>
      </c>
      <c r="W140" s="1" t="s">
        <v>803</v>
      </c>
      <c r="X140" s="1" t="s">
        <v>804</v>
      </c>
      <c r="Y140" s="1" t="s">
        <v>44</v>
      </c>
      <c r="Z140" s="1" t="b">
        <v>1</v>
      </c>
      <c r="AA140" s="1"/>
      <c r="AB140" s="1" t="s">
        <v>45</v>
      </c>
      <c r="AC140" s="1"/>
    </row>
    <row r="141" spans="1:29" x14ac:dyDescent="0.35">
      <c r="A141" s="2" t="s">
        <v>27</v>
      </c>
      <c r="B141" s="2" t="s">
        <v>28</v>
      </c>
      <c r="C141" s="2" t="s">
        <v>29</v>
      </c>
      <c r="D141" s="2" t="s">
        <v>30</v>
      </c>
      <c r="E141" s="2" t="s">
        <v>31</v>
      </c>
      <c r="F141" s="2" t="s">
        <v>618</v>
      </c>
      <c r="G141" s="2" t="s">
        <v>618</v>
      </c>
      <c r="H141" s="2" t="s">
        <v>54</v>
      </c>
      <c r="I141" s="2" t="s">
        <v>86</v>
      </c>
      <c r="J141" s="2" t="s">
        <v>212</v>
      </c>
      <c r="K141" s="2" t="s">
        <v>800</v>
      </c>
      <c r="L141" s="2" t="s">
        <v>214</v>
      </c>
      <c r="M141" t="s">
        <v>1997</v>
      </c>
      <c r="N141" t="s">
        <v>1955</v>
      </c>
      <c r="O141" t="s">
        <v>1997</v>
      </c>
      <c r="P141" t="s">
        <v>1998</v>
      </c>
      <c r="Q141" s="2" t="s">
        <v>714</v>
      </c>
      <c r="R141" s="2" t="s">
        <v>62</v>
      </c>
      <c r="S141" s="2" t="s">
        <v>63</v>
      </c>
      <c r="T141" s="2" t="s">
        <v>63</v>
      </c>
      <c r="U141" s="2" t="s">
        <v>40</v>
      </c>
      <c r="V141" s="2" t="s">
        <v>41</v>
      </c>
      <c r="W141" s="2" t="s">
        <v>807</v>
      </c>
      <c r="X141" s="2" t="s">
        <v>808</v>
      </c>
      <c r="Y141" s="2" t="s">
        <v>44</v>
      </c>
      <c r="Z141" s="2" t="b">
        <v>1</v>
      </c>
      <c r="AA141" s="2"/>
      <c r="AB141" s="2" t="s">
        <v>45</v>
      </c>
      <c r="AC141" s="2"/>
    </row>
    <row r="142" spans="1:29" x14ac:dyDescent="0.35">
      <c r="A142" s="1" t="s">
        <v>27</v>
      </c>
      <c r="B142" s="1" t="s">
        <v>28</v>
      </c>
      <c r="C142" s="1" t="s">
        <v>29</v>
      </c>
      <c r="D142" s="1" t="s">
        <v>30</v>
      </c>
      <c r="E142" s="1" t="s">
        <v>31</v>
      </c>
      <c r="F142" s="1" t="s">
        <v>618</v>
      </c>
      <c r="G142" s="1" t="s">
        <v>618</v>
      </c>
      <c r="H142" s="1" t="s">
        <v>54</v>
      </c>
      <c r="I142" s="1" t="s">
        <v>86</v>
      </c>
      <c r="J142" s="1" t="s">
        <v>212</v>
      </c>
      <c r="K142" s="1" t="s">
        <v>809</v>
      </c>
      <c r="L142" s="1" t="s">
        <v>214</v>
      </c>
      <c r="M142" t="s">
        <v>1999</v>
      </c>
      <c r="N142" t="s">
        <v>1955</v>
      </c>
      <c r="O142" t="s">
        <v>1999</v>
      </c>
      <c r="P142" t="s">
        <v>2000</v>
      </c>
      <c r="Q142" s="1" t="s">
        <v>714</v>
      </c>
      <c r="R142" s="1" t="s">
        <v>62</v>
      </c>
      <c r="S142" s="1" t="s">
        <v>63</v>
      </c>
      <c r="T142" s="1" t="s">
        <v>63</v>
      </c>
      <c r="U142" s="1" t="s">
        <v>40</v>
      </c>
      <c r="V142" s="1" t="s">
        <v>41</v>
      </c>
      <c r="W142" s="1" t="s">
        <v>812</v>
      </c>
      <c r="X142" s="1" t="s">
        <v>813</v>
      </c>
      <c r="Y142" s="1" t="s">
        <v>44</v>
      </c>
      <c r="Z142" s="1" t="b">
        <v>1</v>
      </c>
      <c r="AA142" s="1"/>
      <c r="AB142" s="1" t="s">
        <v>45</v>
      </c>
      <c r="AC142" s="1"/>
    </row>
    <row r="143" spans="1:29" x14ac:dyDescent="0.35">
      <c r="A143" s="2" t="s">
        <v>27</v>
      </c>
      <c r="B143" s="2" t="s">
        <v>28</v>
      </c>
      <c r="C143" s="2" t="s">
        <v>29</v>
      </c>
      <c r="D143" s="2" t="s">
        <v>30</v>
      </c>
      <c r="E143" s="2" t="s">
        <v>31</v>
      </c>
      <c r="F143" s="2" t="s">
        <v>618</v>
      </c>
      <c r="G143" s="2" t="s">
        <v>618</v>
      </c>
      <c r="H143" s="2" t="s">
        <v>54</v>
      </c>
      <c r="I143" s="2" t="s">
        <v>86</v>
      </c>
      <c r="J143" s="2" t="s">
        <v>212</v>
      </c>
      <c r="K143" s="2" t="s">
        <v>809</v>
      </c>
      <c r="L143" s="2" t="s">
        <v>214</v>
      </c>
      <c r="M143" t="s">
        <v>2001</v>
      </c>
      <c r="N143" t="s">
        <v>1955</v>
      </c>
      <c r="O143" t="s">
        <v>2001</v>
      </c>
      <c r="P143" t="s">
        <v>2002</v>
      </c>
      <c r="Q143" s="2" t="s">
        <v>714</v>
      </c>
      <c r="R143" s="2" t="s">
        <v>62</v>
      </c>
      <c r="S143" s="2" t="s">
        <v>63</v>
      </c>
      <c r="T143" s="2" t="s">
        <v>63</v>
      </c>
      <c r="U143" s="2" t="s">
        <v>40</v>
      </c>
      <c r="V143" s="2" t="s">
        <v>41</v>
      </c>
      <c r="W143" s="2" t="s">
        <v>816</v>
      </c>
      <c r="X143" s="2" t="s">
        <v>817</v>
      </c>
      <c r="Y143" s="2" t="s">
        <v>44</v>
      </c>
      <c r="Z143" s="2" t="b">
        <v>1</v>
      </c>
      <c r="AA143" s="2"/>
      <c r="AB143" s="2" t="s">
        <v>45</v>
      </c>
      <c r="AC143" s="2"/>
    </row>
    <row r="144" spans="1:29" x14ac:dyDescent="0.35">
      <c r="A144" s="1" t="s">
        <v>27</v>
      </c>
      <c r="B144" s="1" t="s">
        <v>28</v>
      </c>
      <c r="C144" s="1" t="s">
        <v>29</v>
      </c>
      <c r="D144" s="1" t="s">
        <v>30</v>
      </c>
      <c r="E144" s="1" t="s">
        <v>31</v>
      </c>
      <c r="F144" s="1" t="s">
        <v>618</v>
      </c>
      <c r="G144" s="1" t="s">
        <v>618</v>
      </c>
      <c r="H144" s="1" t="s">
        <v>54</v>
      </c>
      <c r="I144" s="1" t="s">
        <v>86</v>
      </c>
      <c r="J144" s="1" t="s">
        <v>212</v>
      </c>
      <c r="K144" s="1" t="s">
        <v>818</v>
      </c>
      <c r="L144" s="1" t="s">
        <v>214</v>
      </c>
      <c r="M144" t="s">
        <v>2003</v>
      </c>
      <c r="N144" t="s">
        <v>1955</v>
      </c>
      <c r="O144" t="s">
        <v>2003</v>
      </c>
      <c r="P144" t="s">
        <v>2004</v>
      </c>
      <c r="Q144" s="1" t="s">
        <v>714</v>
      </c>
      <c r="R144" s="1" t="s">
        <v>62</v>
      </c>
      <c r="S144" s="1" t="s">
        <v>63</v>
      </c>
      <c r="T144" s="1" t="s">
        <v>63</v>
      </c>
      <c r="U144" s="1" t="s">
        <v>40</v>
      </c>
      <c r="V144" s="1" t="s">
        <v>41</v>
      </c>
      <c r="W144" s="1" t="s">
        <v>821</v>
      </c>
      <c r="X144" s="1" t="s">
        <v>822</v>
      </c>
      <c r="Y144" s="1" t="s">
        <v>44</v>
      </c>
      <c r="Z144" s="1" t="b">
        <v>1</v>
      </c>
      <c r="AA144" s="1"/>
      <c r="AB144" s="1" t="s">
        <v>45</v>
      </c>
      <c r="AC144" s="1"/>
    </row>
    <row r="145" spans="1:29" x14ac:dyDescent="0.35">
      <c r="A145" s="2" t="s">
        <v>27</v>
      </c>
      <c r="B145" s="2" t="s">
        <v>28</v>
      </c>
      <c r="C145" s="2" t="s">
        <v>29</v>
      </c>
      <c r="D145" s="2" t="s">
        <v>30</v>
      </c>
      <c r="E145" s="2" t="s">
        <v>31</v>
      </c>
      <c r="F145" s="2" t="s">
        <v>618</v>
      </c>
      <c r="G145" s="2" t="s">
        <v>618</v>
      </c>
      <c r="H145" s="2" t="s">
        <v>54</v>
      </c>
      <c r="I145" s="2" t="s">
        <v>86</v>
      </c>
      <c r="J145" s="2" t="s">
        <v>212</v>
      </c>
      <c r="K145" s="2" t="s">
        <v>818</v>
      </c>
      <c r="L145" s="2" t="s">
        <v>214</v>
      </c>
      <c r="M145" t="s">
        <v>2005</v>
      </c>
      <c r="N145" t="s">
        <v>1955</v>
      </c>
      <c r="O145" t="s">
        <v>2005</v>
      </c>
      <c r="P145" t="s">
        <v>2006</v>
      </c>
      <c r="Q145" s="2" t="s">
        <v>714</v>
      </c>
      <c r="R145" s="2" t="s">
        <v>62</v>
      </c>
      <c r="S145" s="2" t="s">
        <v>63</v>
      </c>
      <c r="T145" s="2" t="s">
        <v>63</v>
      </c>
      <c r="U145" s="2" t="s">
        <v>40</v>
      </c>
      <c r="V145" s="2" t="s">
        <v>41</v>
      </c>
      <c r="W145" s="2" t="s">
        <v>825</v>
      </c>
      <c r="X145" s="2" t="s">
        <v>826</v>
      </c>
      <c r="Y145" s="2" t="s">
        <v>44</v>
      </c>
      <c r="Z145" s="2" t="b">
        <v>1</v>
      </c>
      <c r="AA145" s="2"/>
      <c r="AB145" s="2" t="s">
        <v>45</v>
      </c>
      <c r="AC145" s="2"/>
    </row>
    <row r="146" spans="1:29" x14ac:dyDescent="0.35">
      <c r="A146" s="1" t="s">
        <v>27</v>
      </c>
      <c r="B146" s="1" t="s">
        <v>28</v>
      </c>
      <c r="C146" s="1" t="s">
        <v>29</v>
      </c>
      <c r="D146" s="1" t="s">
        <v>30</v>
      </c>
      <c r="E146" s="1" t="s">
        <v>31</v>
      </c>
      <c r="F146" s="1" t="s">
        <v>618</v>
      </c>
      <c r="G146" s="1" t="s">
        <v>618</v>
      </c>
      <c r="H146" s="1" t="s">
        <v>54</v>
      </c>
      <c r="I146" s="1" t="s">
        <v>86</v>
      </c>
      <c r="J146" s="1" t="s">
        <v>212</v>
      </c>
      <c r="K146" s="1" t="s">
        <v>827</v>
      </c>
      <c r="L146" s="1" t="s">
        <v>214</v>
      </c>
      <c r="M146" t="s">
        <v>340</v>
      </c>
      <c r="N146" t="s">
        <v>338</v>
      </c>
      <c r="O146" t="s">
        <v>340</v>
      </c>
      <c r="P146" t="s">
        <v>341</v>
      </c>
      <c r="Q146" s="1" t="s">
        <v>714</v>
      </c>
      <c r="R146" s="1" t="s">
        <v>62</v>
      </c>
      <c r="S146" s="1" t="s">
        <v>63</v>
      </c>
      <c r="T146" s="1" t="s">
        <v>63</v>
      </c>
      <c r="U146" s="1" t="s">
        <v>40</v>
      </c>
      <c r="V146" s="1" t="s">
        <v>41</v>
      </c>
      <c r="W146" s="1" t="s">
        <v>830</v>
      </c>
      <c r="X146" s="1" t="s">
        <v>831</v>
      </c>
      <c r="Y146" s="1" t="s">
        <v>44</v>
      </c>
      <c r="Z146" s="1" t="b">
        <v>1</v>
      </c>
      <c r="AA146" s="1"/>
      <c r="AB146" s="1" t="s">
        <v>45</v>
      </c>
      <c r="AC146" s="1"/>
    </row>
    <row r="147" spans="1:29" x14ac:dyDescent="0.35">
      <c r="A147" s="2" t="s">
        <v>27</v>
      </c>
      <c r="B147" s="2" t="s">
        <v>28</v>
      </c>
      <c r="C147" s="2" t="s">
        <v>29</v>
      </c>
      <c r="D147" s="2" t="s">
        <v>30</v>
      </c>
      <c r="E147" s="2" t="s">
        <v>31</v>
      </c>
      <c r="F147" s="2" t="s">
        <v>618</v>
      </c>
      <c r="G147" s="2" t="s">
        <v>618</v>
      </c>
      <c r="H147" s="2" t="s">
        <v>54</v>
      </c>
      <c r="I147" s="2" t="s">
        <v>86</v>
      </c>
      <c r="J147" s="2" t="s">
        <v>212</v>
      </c>
      <c r="K147" s="2" t="s">
        <v>827</v>
      </c>
      <c r="L147" s="2" t="s">
        <v>214</v>
      </c>
      <c r="M147" t="s">
        <v>345</v>
      </c>
      <c r="N147" t="s">
        <v>338</v>
      </c>
      <c r="O147" t="s">
        <v>345</v>
      </c>
      <c r="P147" t="s">
        <v>346</v>
      </c>
      <c r="Q147" s="2" t="s">
        <v>714</v>
      </c>
      <c r="R147" s="2" t="s">
        <v>62</v>
      </c>
      <c r="S147" s="2" t="s">
        <v>63</v>
      </c>
      <c r="T147" s="2" t="s">
        <v>63</v>
      </c>
      <c r="U147" s="2" t="s">
        <v>40</v>
      </c>
      <c r="V147" s="2" t="s">
        <v>41</v>
      </c>
      <c r="W147" s="2" t="s">
        <v>834</v>
      </c>
      <c r="X147" s="2" t="s">
        <v>835</v>
      </c>
      <c r="Y147" s="2" t="s">
        <v>44</v>
      </c>
      <c r="Z147" s="2" t="b">
        <v>1</v>
      </c>
      <c r="AA147" s="2"/>
      <c r="AB147" s="2" t="s">
        <v>45</v>
      </c>
      <c r="AC147" s="2"/>
    </row>
    <row r="148" spans="1:29" x14ac:dyDescent="0.35">
      <c r="A148" s="1" t="s">
        <v>27</v>
      </c>
      <c r="B148" s="1" t="s">
        <v>28</v>
      </c>
      <c r="C148" s="1" t="s">
        <v>29</v>
      </c>
      <c r="D148" s="1" t="s">
        <v>30</v>
      </c>
      <c r="E148" s="1" t="s">
        <v>31</v>
      </c>
      <c r="F148" s="1" t="s">
        <v>618</v>
      </c>
      <c r="G148" s="1" t="s">
        <v>618</v>
      </c>
      <c r="H148" s="1" t="s">
        <v>54</v>
      </c>
      <c r="I148" s="1" t="s">
        <v>86</v>
      </c>
      <c r="J148" s="1" t="s">
        <v>212</v>
      </c>
      <c r="K148" s="1" t="s">
        <v>836</v>
      </c>
      <c r="L148" s="1" t="s">
        <v>214</v>
      </c>
      <c r="M148" t="s">
        <v>350</v>
      </c>
      <c r="N148" t="s">
        <v>338</v>
      </c>
      <c r="O148" t="s">
        <v>350</v>
      </c>
      <c r="P148" t="s">
        <v>351</v>
      </c>
      <c r="Q148" s="1" t="s">
        <v>714</v>
      </c>
      <c r="R148" s="1" t="s">
        <v>62</v>
      </c>
      <c r="S148" s="1" t="s">
        <v>63</v>
      </c>
      <c r="T148" s="1" t="s">
        <v>63</v>
      </c>
      <c r="U148" s="1" t="s">
        <v>40</v>
      </c>
      <c r="V148" s="1" t="s">
        <v>41</v>
      </c>
      <c r="W148" s="1" t="s">
        <v>839</v>
      </c>
      <c r="X148" s="1" t="s">
        <v>840</v>
      </c>
      <c r="Y148" s="1" t="s">
        <v>44</v>
      </c>
      <c r="Z148" s="1" t="b">
        <v>1</v>
      </c>
      <c r="AA148" s="1"/>
      <c r="AB148" s="1" t="s">
        <v>45</v>
      </c>
      <c r="AC148" s="1"/>
    </row>
    <row r="149" spans="1:29" x14ac:dyDescent="0.35">
      <c r="A149" s="2" t="s">
        <v>27</v>
      </c>
      <c r="B149" s="2" t="s">
        <v>28</v>
      </c>
      <c r="C149" s="2" t="s">
        <v>29</v>
      </c>
      <c r="D149" s="2" t="s">
        <v>30</v>
      </c>
      <c r="E149" s="2" t="s">
        <v>31</v>
      </c>
      <c r="F149" s="2" t="s">
        <v>618</v>
      </c>
      <c r="G149" s="2" t="s">
        <v>618</v>
      </c>
      <c r="H149" s="2" t="s">
        <v>54</v>
      </c>
      <c r="I149" s="2" t="s">
        <v>86</v>
      </c>
      <c r="J149" s="2" t="s">
        <v>212</v>
      </c>
      <c r="K149" s="2" t="s">
        <v>836</v>
      </c>
      <c r="L149" s="2" t="s">
        <v>214</v>
      </c>
      <c r="M149" t="s">
        <v>355</v>
      </c>
      <c r="N149" t="s">
        <v>338</v>
      </c>
      <c r="O149" t="s">
        <v>355</v>
      </c>
      <c r="P149" t="s">
        <v>356</v>
      </c>
      <c r="Q149" s="2" t="s">
        <v>714</v>
      </c>
      <c r="R149" s="2" t="s">
        <v>62</v>
      </c>
      <c r="S149" s="2" t="s">
        <v>63</v>
      </c>
      <c r="T149" s="2" t="s">
        <v>63</v>
      </c>
      <c r="U149" s="2" t="s">
        <v>40</v>
      </c>
      <c r="V149" s="2" t="s">
        <v>41</v>
      </c>
      <c r="W149" s="2" t="s">
        <v>843</v>
      </c>
      <c r="X149" s="2" t="s">
        <v>844</v>
      </c>
      <c r="Y149" s="2" t="s">
        <v>44</v>
      </c>
      <c r="Z149" s="2" t="b">
        <v>1</v>
      </c>
      <c r="AA149" s="2"/>
      <c r="AB149" s="2" t="s">
        <v>45</v>
      </c>
      <c r="AC149" s="2"/>
    </row>
    <row r="150" spans="1:29" x14ac:dyDescent="0.35">
      <c r="A150" s="1" t="s">
        <v>27</v>
      </c>
      <c r="B150" s="1" t="s">
        <v>28</v>
      </c>
      <c r="C150" s="1" t="s">
        <v>29</v>
      </c>
      <c r="D150" s="1" t="s">
        <v>30</v>
      </c>
      <c r="E150" s="1" t="s">
        <v>31</v>
      </c>
      <c r="F150" s="1" t="s">
        <v>618</v>
      </c>
      <c r="G150" s="1" t="s">
        <v>618</v>
      </c>
      <c r="H150" s="1" t="s">
        <v>54</v>
      </c>
      <c r="I150" s="1" t="s">
        <v>86</v>
      </c>
      <c r="J150" s="1" t="s">
        <v>212</v>
      </c>
      <c r="K150" s="1" t="s">
        <v>845</v>
      </c>
      <c r="L150" s="1" t="s">
        <v>214</v>
      </c>
      <c r="M150" t="s">
        <v>360</v>
      </c>
      <c r="N150" t="s">
        <v>338</v>
      </c>
      <c r="O150" t="s">
        <v>360</v>
      </c>
      <c r="P150" t="s">
        <v>361</v>
      </c>
      <c r="Q150" s="1" t="s">
        <v>714</v>
      </c>
      <c r="R150" s="1" t="s">
        <v>62</v>
      </c>
      <c r="S150" s="1" t="s">
        <v>63</v>
      </c>
      <c r="T150" s="1" t="s">
        <v>63</v>
      </c>
      <c r="U150" s="1" t="s">
        <v>40</v>
      </c>
      <c r="V150" s="1" t="s">
        <v>41</v>
      </c>
      <c r="W150" s="1" t="s">
        <v>848</v>
      </c>
      <c r="X150" s="1" t="s">
        <v>849</v>
      </c>
      <c r="Y150" s="1" t="s">
        <v>44</v>
      </c>
      <c r="Z150" s="1" t="b">
        <v>1</v>
      </c>
      <c r="AA150" s="1"/>
      <c r="AB150" s="1" t="s">
        <v>45</v>
      </c>
      <c r="AC150" s="1"/>
    </row>
    <row r="151" spans="1:29" x14ac:dyDescent="0.35">
      <c r="A151" s="2" t="s">
        <v>27</v>
      </c>
      <c r="B151" s="2" t="s">
        <v>28</v>
      </c>
      <c r="C151" s="2" t="s">
        <v>29</v>
      </c>
      <c r="D151" s="2" t="s">
        <v>30</v>
      </c>
      <c r="E151" s="2" t="s">
        <v>31</v>
      </c>
      <c r="F151" s="2" t="s">
        <v>618</v>
      </c>
      <c r="G151" s="2" t="s">
        <v>618</v>
      </c>
      <c r="H151" s="2" t="s">
        <v>54</v>
      </c>
      <c r="I151" s="2" t="s">
        <v>86</v>
      </c>
      <c r="J151" s="2" t="s">
        <v>212</v>
      </c>
      <c r="K151" s="2" t="s">
        <v>845</v>
      </c>
      <c r="L151" s="2" t="s">
        <v>214</v>
      </c>
      <c r="M151" t="s">
        <v>365</v>
      </c>
      <c r="N151" t="s">
        <v>338</v>
      </c>
      <c r="O151" t="s">
        <v>365</v>
      </c>
      <c r="P151" t="s">
        <v>366</v>
      </c>
      <c r="Q151" s="2" t="s">
        <v>714</v>
      </c>
      <c r="R151" s="2" t="s">
        <v>62</v>
      </c>
      <c r="S151" s="2" t="s">
        <v>63</v>
      </c>
      <c r="T151" s="2" t="s">
        <v>63</v>
      </c>
      <c r="U151" s="2" t="s">
        <v>40</v>
      </c>
      <c r="V151" s="2" t="s">
        <v>41</v>
      </c>
      <c r="W151" s="2" t="s">
        <v>852</v>
      </c>
      <c r="X151" s="2" t="s">
        <v>853</v>
      </c>
      <c r="Y151" s="2" t="s">
        <v>44</v>
      </c>
      <c r="Z151" s="2" t="b">
        <v>1</v>
      </c>
      <c r="AA151" s="2"/>
      <c r="AB151" s="2" t="s">
        <v>45</v>
      </c>
      <c r="AC151" s="2"/>
    </row>
    <row r="152" spans="1:29" x14ac:dyDescent="0.35">
      <c r="A152" s="1" t="s">
        <v>27</v>
      </c>
      <c r="B152" s="1" t="s">
        <v>28</v>
      </c>
      <c r="C152" s="1" t="s">
        <v>29</v>
      </c>
      <c r="D152" s="1" t="s">
        <v>30</v>
      </c>
      <c r="E152" s="1" t="s">
        <v>31</v>
      </c>
      <c r="F152" s="1" t="s">
        <v>618</v>
      </c>
      <c r="G152" s="1" t="s">
        <v>618</v>
      </c>
      <c r="H152" s="1" t="s">
        <v>54</v>
      </c>
      <c r="I152" s="1" t="s">
        <v>86</v>
      </c>
      <c r="J152" s="1" t="s">
        <v>212</v>
      </c>
      <c r="K152" s="1" t="s">
        <v>854</v>
      </c>
      <c r="L152" s="1" t="s">
        <v>214</v>
      </c>
      <c r="M152" t="s">
        <v>371</v>
      </c>
      <c r="N152" t="s">
        <v>338</v>
      </c>
      <c r="O152" t="s">
        <v>371</v>
      </c>
      <c r="P152" t="s">
        <v>372</v>
      </c>
      <c r="Q152" s="1" t="s">
        <v>857</v>
      </c>
      <c r="R152" s="1" t="s">
        <v>62</v>
      </c>
      <c r="S152" s="1" t="s">
        <v>63</v>
      </c>
      <c r="T152" s="1" t="s">
        <v>63</v>
      </c>
      <c r="U152" s="1" t="s">
        <v>40</v>
      </c>
      <c r="V152" s="1" t="s">
        <v>41</v>
      </c>
      <c r="W152" s="1" t="s">
        <v>858</v>
      </c>
      <c r="X152" s="1" t="s">
        <v>859</v>
      </c>
      <c r="Y152" s="1" t="s">
        <v>44</v>
      </c>
      <c r="Z152" s="1" t="b">
        <v>1</v>
      </c>
      <c r="AA152" s="1"/>
      <c r="AB152" s="1" t="s">
        <v>45</v>
      </c>
      <c r="AC152" s="1"/>
    </row>
    <row r="153" spans="1:29" x14ac:dyDescent="0.35">
      <c r="A153" s="2" t="s">
        <v>27</v>
      </c>
      <c r="B153" s="2" t="s">
        <v>28</v>
      </c>
      <c r="C153" s="2" t="s">
        <v>29</v>
      </c>
      <c r="D153" s="2" t="s">
        <v>30</v>
      </c>
      <c r="E153" s="2" t="s">
        <v>31</v>
      </c>
      <c r="F153" s="2" t="s">
        <v>618</v>
      </c>
      <c r="G153" s="2" t="s">
        <v>618</v>
      </c>
      <c r="H153" s="2" t="s">
        <v>54</v>
      </c>
      <c r="I153" s="2" t="s">
        <v>86</v>
      </c>
      <c r="J153" s="2" t="s">
        <v>212</v>
      </c>
      <c r="K153" s="2" t="s">
        <v>860</v>
      </c>
      <c r="L153" s="2" t="s">
        <v>214</v>
      </c>
      <c r="M153" t="s">
        <v>377</v>
      </c>
      <c r="N153" t="s">
        <v>338</v>
      </c>
      <c r="O153" t="s">
        <v>377</v>
      </c>
      <c r="P153" t="s">
        <v>378</v>
      </c>
      <c r="Q153" s="2" t="s">
        <v>217</v>
      </c>
      <c r="R153" s="2" t="s">
        <v>62</v>
      </c>
      <c r="S153" s="2" t="s">
        <v>63</v>
      </c>
      <c r="T153" s="2" t="s">
        <v>63</v>
      </c>
      <c r="U153" s="2" t="s">
        <v>40</v>
      </c>
      <c r="V153" s="2" t="s">
        <v>41</v>
      </c>
      <c r="W153" s="2" t="s">
        <v>863</v>
      </c>
      <c r="X153" s="2" t="s">
        <v>864</v>
      </c>
      <c r="Y153" s="2" t="s">
        <v>44</v>
      </c>
      <c r="Z153" s="2" t="b">
        <v>1</v>
      </c>
      <c r="AA153" s="2"/>
      <c r="AB153" s="2" t="s">
        <v>45</v>
      </c>
      <c r="AC153" s="2"/>
    </row>
    <row r="154" spans="1:29" x14ac:dyDescent="0.35">
      <c r="A154" s="1" t="s">
        <v>27</v>
      </c>
      <c r="B154" s="1" t="s">
        <v>28</v>
      </c>
      <c r="C154" s="1" t="s">
        <v>29</v>
      </c>
      <c r="D154" s="1" t="s">
        <v>30</v>
      </c>
      <c r="E154" s="1" t="s">
        <v>31</v>
      </c>
      <c r="F154" s="1" t="s">
        <v>618</v>
      </c>
      <c r="G154" s="1" t="s">
        <v>618</v>
      </c>
      <c r="H154" s="1" t="s">
        <v>54</v>
      </c>
      <c r="I154" s="1" t="s">
        <v>55</v>
      </c>
      <c r="J154" s="1" t="s">
        <v>272</v>
      </c>
      <c r="K154" s="1" t="s">
        <v>865</v>
      </c>
      <c r="L154" s="1" t="s">
        <v>274</v>
      </c>
      <c r="M154" t="s">
        <v>383</v>
      </c>
      <c r="N154" t="s">
        <v>338</v>
      </c>
      <c r="O154" t="s">
        <v>383</v>
      </c>
      <c r="P154" t="s">
        <v>384</v>
      </c>
      <c r="Q154" s="1" t="s">
        <v>61</v>
      </c>
      <c r="R154" s="1" t="s">
        <v>531</v>
      </c>
      <c r="S154" s="1" t="s">
        <v>63</v>
      </c>
      <c r="T154" s="1" t="s">
        <v>63</v>
      </c>
      <c r="U154" s="1" t="s">
        <v>40</v>
      </c>
      <c r="V154" s="1" t="s">
        <v>41</v>
      </c>
      <c r="W154" s="1" t="s">
        <v>868</v>
      </c>
      <c r="X154" s="1" t="s">
        <v>869</v>
      </c>
      <c r="Y154" s="1" t="s">
        <v>44</v>
      </c>
      <c r="Z154" s="1" t="b">
        <v>1</v>
      </c>
      <c r="AA154" s="1"/>
      <c r="AB154" s="1" t="s">
        <v>45</v>
      </c>
      <c r="AC154" s="1"/>
    </row>
    <row r="155" spans="1:29" x14ac:dyDescent="0.35">
      <c r="A155" s="2" t="s">
        <v>27</v>
      </c>
      <c r="B155" s="2" t="s">
        <v>28</v>
      </c>
      <c r="C155" s="2" t="s">
        <v>29</v>
      </c>
      <c r="D155" s="2" t="s">
        <v>30</v>
      </c>
      <c r="E155" s="2" t="s">
        <v>31</v>
      </c>
      <c r="F155" s="2" t="s">
        <v>618</v>
      </c>
      <c r="G155" s="2" t="s">
        <v>618</v>
      </c>
      <c r="H155" s="2" t="s">
        <v>54</v>
      </c>
      <c r="I155" s="2" t="s">
        <v>86</v>
      </c>
      <c r="J155" s="2" t="s">
        <v>272</v>
      </c>
      <c r="K155" s="2" t="s">
        <v>870</v>
      </c>
      <c r="L155" s="2" t="s">
        <v>274</v>
      </c>
      <c r="M155" t="s">
        <v>389</v>
      </c>
      <c r="N155" t="s">
        <v>338</v>
      </c>
      <c r="O155" t="s">
        <v>389</v>
      </c>
      <c r="P155" t="s">
        <v>390</v>
      </c>
      <c r="Q155" s="2" t="s">
        <v>61</v>
      </c>
      <c r="R155" s="2" t="s">
        <v>605</v>
      </c>
      <c r="S155" s="2" t="s">
        <v>63</v>
      </c>
      <c r="T155" s="2" t="s">
        <v>63</v>
      </c>
      <c r="U155" s="2" t="s">
        <v>40</v>
      </c>
      <c r="V155" s="2" t="s">
        <v>41</v>
      </c>
      <c r="W155" s="2" t="s">
        <v>873</v>
      </c>
      <c r="X155" s="2" t="s">
        <v>874</v>
      </c>
      <c r="Y155" s="2" t="s">
        <v>44</v>
      </c>
      <c r="Z155" s="2" t="b">
        <v>1</v>
      </c>
      <c r="AA155" s="2"/>
      <c r="AB155" s="2" t="s">
        <v>45</v>
      </c>
      <c r="AC155" s="2"/>
    </row>
    <row r="156" spans="1:29" x14ac:dyDescent="0.35">
      <c r="A156" s="1" t="s">
        <v>27</v>
      </c>
      <c r="B156" s="1" t="s">
        <v>28</v>
      </c>
      <c r="C156" s="1" t="s">
        <v>29</v>
      </c>
      <c r="D156" s="1" t="s">
        <v>30</v>
      </c>
      <c r="E156" s="1" t="s">
        <v>31</v>
      </c>
      <c r="F156" s="1" t="s">
        <v>618</v>
      </c>
      <c r="G156" s="1" t="s">
        <v>618</v>
      </c>
      <c r="H156" s="1" t="s">
        <v>54</v>
      </c>
      <c r="I156" s="1" t="s">
        <v>86</v>
      </c>
      <c r="J156" s="1" t="s">
        <v>272</v>
      </c>
      <c r="K156" s="1" t="s">
        <v>875</v>
      </c>
      <c r="L156" s="1" t="s">
        <v>274</v>
      </c>
      <c r="M156" t="s">
        <v>395</v>
      </c>
      <c r="N156" t="s">
        <v>338</v>
      </c>
      <c r="O156" t="s">
        <v>395</v>
      </c>
      <c r="P156" t="s">
        <v>396</v>
      </c>
      <c r="Q156" s="1" t="s">
        <v>61</v>
      </c>
      <c r="R156" s="1" t="s">
        <v>878</v>
      </c>
      <c r="S156" s="1" t="s">
        <v>63</v>
      </c>
      <c r="T156" s="1" t="s">
        <v>63</v>
      </c>
      <c r="U156" s="1" t="s">
        <v>40</v>
      </c>
      <c r="V156" s="1" t="s">
        <v>41</v>
      </c>
      <c r="W156" s="1" t="s">
        <v>879</v>
      </c>
      <c r="X156" s="1" t="s">
        <v>880</v>
      </c>
      <c r="Y156" s="1" t="s">
        <v>44</v>
      </c>
      <c r="Z156" s="1" t="b">
        <v>1</v>
      </c>
      <c r="AA156" s="1"/>
      <c r="AB156" s="1" t="s">
        <v>45</v>
      </c>
      <c r="AC156" s="1"/>
    </row>
    <row r="157" spans="1:29" x14ac:dyDescent="0.35">
      <c r="A157" s="2" t="s">
        <v>27</v>
      </c>
      <c r="B157" s="2" t="s">
        <v>28</v>
      </c>
      <c r="C157" s="2" t="s">
        <v>29</v>
      </c>
      <c r="D157" s="2" t="s">
        <v>30</v>
      </c>
      <c r="E157" s="2" t="s">
        <v>31</v>
      </c>
      <c r="F157" s="2" t="s">
        <v>618</v>
      </c>
      <c r="G157" s="2" t="s">
        <v>618</v>
      </c>
      <c r="H157" s="2" t="s">
        <v>54</v>
      </c>
      <c r="I157" s="2" t="s">
        <v>86</v>
      </c>
      <c r="J157" s="2" t="s">
        <v>272</v>
      </c>
      <c r="K157" s="2" t="s">
        <v>881</v>
      </c>
      <c r="L157" s="2" t="s">
        <v>274</v>
      </c>
      <c r="M157" t="s">
        <v>400</v>
      </c>
      <c r="N157" t="s">
        <v>338</v>
      </c>
      <c r="O157" t="s">
        <v>400</v>
      </c>
      <c r="P157" t="s">
        <v>401</v>
      </c>
      <c r="Q157" s="2" t="s">
        <v>61</v>
      </c>
      <c r="R157" s="2" t="s">
        <v>878</v>
      </c>
      <c r="S157" s="2" t="s">
        <v>63</v>
      </c>
      <c r="T157" s="2" t="s">
        <v>63</v>
      </c>
      <c r="U157" s="2" t="s">
        <v>40</v>
      </c>
      <c r="V157" s="2" t="s">
        <v>41</v>
      </c>
      <c r="W157" s="2" t="s">
        <v>884</v>
      </c>
      <c r="X157" s="2" t="s">
        <v>885</v>
      </c>
      <c r="Y157" s="2" t="s">
        <v>44</v>
      </c>
      <c r="Z157" s="2" t="b">
        <v>1</v>
      </c>
      <c r="AA157" s="2"/>
      <c r="AB157" s="2" t="s">
        <v>45</v>
      </c>
      <c r="AC157" s="2"/>
    </row>
    <row r="158" spans="1:29" x14ac:dyDescent="0.35">
      <c r="A158" s="1" t="s">
        <v>27</v>
      </c>
      <c r="B158" s="1" t="s">
        <v>28</v>
      </c>
      <c r="C158" s="1" t="s">
        <v>29</v>
      </c>
      <c r="D158" s="1" t="s">
        <v>30</v>
      </c>
      <c r="E158" s="1" t="s">
        <v>31</v>
      </c>
      <c r="F158" s="1" t="s">
        <v>618</v>
      </c>
      <c r="G158" s="1" t="s">
        <v>618</v>
      </c>
      <c r="H158" s="1" t="s">
        <v>54</v>
      </c>
      <c r="I158" s="1" t="s">
        <v>86</v>
      </c>
      <c r="J158" s="1" t="s">
        <v>272</v>
      </c>
      <c r="K158" s="1" t="s">
        <v>886</v>
      </c>
      <c r="L158" s="1" t="s">
        <v>274</v>
      </c>
      <c r="M158" t="s">
        <v>406</v>
      </c>
      <c r="N158" t="s">
        <v>338</v>
      </c>
      <c r="O158" t="s">
        <v>406</v>
      </c>
      <c r="P158" t="s">
        <v>407</v>
      </c>
      <c r="Q158" s="1" t="s">
        <v>61</v>
      </c>
      <c r="R158" s="1" t="s">
        <v>878</v>
      </c>
      <c r="S158" s="1" t="s">
        <v>63</v>
      </c>
      <c r="T158" s="1" t="s">
        <v>63</v>
      </c>
      <c r="U158" s="1" t="s">
        <v>40</v>
      </c>
      <c r="V158" s="1" t="s">
        <v>41</v>
      </c>
      <c r="W158" s="1" t="s">
        <v>889</v>
      </c>
      <c r="X158" s="1" t="s">
        <v>890</v>
      </c>
      <c r="Y158" s="1" t="s">
        <v>44</v>
      </c>
      <c r="Z158" s="1" t="b">
        <v>1</v>
      </c>
      <c r="AA158" s="1"/>
      <c r="AB158" s="1" t="s">
        <v>45</v>
      </c>
      <c r="AC158" s="1"/>
    </row>
    <row r="159" spans="1:29" x14ac:dyDescent="0.35">
      <c r="A159" s="2" t="s">
        <v>27</v>
      </c>
      <c r="B159" s="2" t="s">
        <v>28</v>
      </c>
      <c r="C159" s="2" t="s">
        <v>29</v>
      </c>
      <c r="D159" s="2" t="s">
        <v>30</v>
      </c>
      <c r="E159" s="2" t="s">
        <v>31</v>
      </c>
      <c r="F159" s="2" t="s">
        <v>618</v>
      </c>
      <c r="G159" s="2" t="s">
        <v>618</v>
      </c>
      <c r="H159" s="2" t="s">
        <v>54</v>
      </c>
      <c r="I159" s="2" t="s">
        <v>86</v>
      </c>
      <c r="J159" s="2" t="s">
        <v>272</v>
      </c>
      <c r="K159" s="2" t="s">
        <v>891</v>
      </c>
      <c r="L159" s="2" t="s">
        <v>274</v>
      </c>
      <c r="M159" t="s">
        <v>412</v>
      </c>
      <c r="N159" t="s">
        <v>338</v>
      </c>
      <c r="O159" t="s">
        <v>412</v>
      </c>
      <c r="P159" t="s">
        <v>413</v>
      </c>
      <c r="Q159" s="2" t="s">
        <v>61</v>
      </c>
      <c r="R159" s="2" t="s">
        <v>878</v>
      </c>
      <c r="S159" s="2" t="s">
        <v>63</v>
      </c>
      <c r="T159" s="2" t="s">
        <v>63</v>
      </c>
      <c r="U159" s="2" t="s">
        <v>40</v>
      </c>
      <c r="V159" s="2" t="s">
        <v>41</v>
      </c>
      <c r="W159" s="2" t="s">
        <v>894</v>
      </c>
      <c r="X159" s="2" t="s">
        <v>895</v>
      </c>
      <c r="Y159" s="2" t="s">
        <v>44</v>
      </c>
      <c r="Z159" s="2" t="b">
        <v>1</v>
      </c>
      <c r="AA159" s="2"/>
      <c r="AB159" s="2" t="s">
        <v>45</v>
      </c>
      <c r="AC159" s="2"/>
    </row>
    <row r="160" spans="1:29" x14ac:dyDescent="0.35">
      <c r="A160" s="1" t="s">
        <v>27</v>
      </c>
      <c r="B160" s="1" t="s">
        <v>28</v>
      </c>
      <c r="C160" s="1" t="s">
        <v>29</v>
      </c>
      <c r="D160" s="1" t="s">
        <v>30</v>
      </c>
      <c r="E160" s="1" t="s">
        <v>31</v>
      </c>
      <c r="F160" s="1" t="s">
        <v>618</v>
      </c>
      <c r="G160" s="1" t="s">
        <v>618</v>
      </c>
      <c r="H160" s="1" t="s">
        <v>54</v>
      </c>
      <c r="I160" s="1" t="s">
        <v>86</v>
      </c>
      <c r="J160" s="1" t="s">
        <v>272</v>
      </c>
      <c r="K160" s="1" t="s">
        <v>896</v>
      </c>
      <c r="L160" s="1" t="s">
        <v>274</v>
      </c>
      <c r="M160" t="s">
        <v>417</v>
      </c>
      <c r="N160" t="s">
        <v>338</v>
      </c>
      <c r="O160" t="s">
        <v>417</v>
      </c>
      <c r="P160" t="s">
        <v>418</v>
      </c>
      <c r="Q160" s="1" t="s">
        <v>61</v>
      </c>
      <c r="R160" s="1" t="s">
        <v>283</v>
      </c>
      <c r="S160" s="1" t="s">
        <v>63</v>
      </c>
      <c r="T160" s="1" t="s">
        <v>63</v>
      </c>
      <c r="U160" s="1" t="s">
        <v>40</v>
      </c>
      <c r="V160" s="1" t="s">
        <v>41</v>
      </c>
      <c r="W160" s="1" t="s">
        <v>899</v>
      </c>
      <c r="X160" s="1" t="s">
        <v>900</v>
      </c>
      <c r="Y160" s="1" t="s">
        <v>44</v>
      </c>
      <c r="Z160" s="1" t="b">
        <v>1</v>
      </c>
      <c r="AA160" s="1"/>
      <c r="AB160" s="1" t="s">
        <v>45</v>
      </c>
      <c r="AC160" s="1"/>
    </row>
    <row r="161" spans="1:29" x14ac:dyDescent="0.35">
      <c r="A161" s="2" t="s">
        <v>27</v>
      </c>
      <c r="B161" s="2" t="s">
        <v>28</v>
      </c>
      <c r="C161" s="2" t="s">
        <v>29</v>
      </c>
      <c r="D161" s="2" t="s">
        <v>30</v>
      </c>
      <c r="E161" s="2" t="s">
        <v>31</v>
      </c>
      <c r="F161" s="2" t="s">
        <v>618</v>
      </c>
      <c r="G161" s="2" t="s">
        <v>618</v>
      </c>
      <c r="H161" s="2" t="s">
        <v>54</v>
      </c>
      <c r="I161" s="2" t="s">
        <v>86</v>
      </c>
      <c r="J161" s="2" t="s">
        <v>272</v>
      </c>
      <c r="K161" s="2" t="s">
        <v>901</v>
      </c>
      <c r="L161" s="2" t="s">
        <v>274</v>
      </c>
      <c r="M161" t="s">
        <v>423</v>
      </c>
      <c r="N161" t="s">
        <v>338</v>
      </c>
      <c r="O161" t="s">
        <v>423</v>
      </c>
      <c r="P161" t="s">
        <v>424</v>
      </c>
      <c r="Q161" s="2" t="s">
        <v>61</v>
      </c>
      <c r="R161" s="2" t="s">
        <v>531</v>
      </c>
      <c r="S161" s="2" t="s">
        <v>63</v>
      </c>
      <c r="T161" s="2" t="s">
        <v>63</v>
      </c>
      <c r="U161" s="2" t="s">
        <v>40</v>
      </c>
      <c r="V161" s="2" t="s">
        <v>41</v>
      </c>
      <c r="W161" s="2" t="s">
        <v>904</v>
      </c>
      <c r="X161" s="2" t="s">
        <v>905</v>
      </c>
      <c r="Y161" s="2" t="s">
        <v>44</v>
      </c>
      <c r="Z161" s="2" t="b">
        <v>1</v>
      </c>
      <c r="AA161" s="2"/>
      <c r="AB161" s="2" t="s">
        <v>45</v>
      </c>
      <c r="AC161" s="2"/>
    </row>
    <row r="162" spans="1:29" x14ac:dyDescent="0.35">
      <c r="A162" s="1" t="s">
        <v>27</v>
      </c>
      <c r="B162" s="1" t="s">
        <v>28</v>
      </c>
      <c r="C162" s="1" t="s">
        <v>29</v>
      </c>
      <c r="D162" s="1" t="s">
        <v>30</v>
      </c>
      <c r="E162" s="1" t="s">
        <v>31</v>
      </c>
      <c r="F162" s="1" t="s">
        <v>618</v>
      </c>
      <c r="G162" s="1" t="s">
        <v>33</v>
      </c>
      <c r="H162" s="1" t="s">
        <v>33</v>
      </c>
      <c r="I162" s="1" t="s">
        <v>34</v>
      </c>
      <c r="J162" s="1" t="s">
        <v>35</v>
      </c>
      <c r="K162" s="1" t="s">
        <v>906</v>
      </c>
      <c r="L162" s="1" t="s">
        <v>37</v>
      </c>
      <c r="M162" t="s">
        <v>429</v>
      </c>
      <c r="N162" t="s">
        <v>338</v>
      </c>
      <c r="O162" t="s">
        <v>429</v>
      </c>
      <c r="P162" t="s">
        <v>430</v>
      </c>
      <c r="Q162" s="1"/>
      <c r="R162" s="1"/>
      <c r="S162" s="1"/>
      <c r="T162" s="1"/>
      <c r="U162" s="1" t="s">
        <v>40</v>
      </c>
      <c r="V162" s="1" t="s">
        <v>41</v>
      </c>
      <c r="W162" s="1" t="s">
        <v>909</v>
      </c>
      <c r="X162" s="1" t="s">
        <v>910</v>
      </c>
      <c r="Y162" s="1" t="s">
        <v>44</v>
      </c>
      <c r="Z162" s="1"/>
      <c r="AA162" s="1"/>
      <c r="AB162" s="1" t="s">
        <v>45</v>
      </c>
      <c r="AC162" s="1"/>
    </row>
    <row r="163" spans="1:29" x14ac:dyDescent="0.35">
      <c r="A163" s="2" t="s">
        <v>27</v>
      </c>
      <c r="B163" s="2" t="s">
        <v>28</v>
      </c>
      <c r="C163" s="2" t="s">
        <v>29</v>
      </c>
      <c r="D163" s="2" t="s">
        <v>30</v>
      </c>
      <c r="E163" s="2" t="s">
        <v>31</v>
      </c>
      <c r="F163" s="2" t="s">
        <v>618</v>
      </c>
      <c r="G163" s="2" t="s">
        <v>618</v>
      </c>
      <c r="H163" s="2" t="s">
        <v>54</v>
      </c>
      <c r="I163" s="2" t="s">
        <v>55</v>
      </c>
      <c r="J163" s="2" t="s">
        <v>308</v>
      </c>
      <c r="K163" s="2" t="s">
        <v>911</v>
      </c>
      <c r="L163" s="2" t="s">
        <v>310</v>
      </c>
      <c r="M163" t="s">
        <v>435</v>
      </c>
      <c r="N163" t="s">
        <v>338</v>
      </c>
      <c r="O163" t="s">
        <v>435</v>
      </c>
      <c r="P163" t="s">
        <v>436</v>
      </c>
      <c r="Q163" s="2" t="s">
        <v>61</v>
      </c>
      <c r="R163" s="2" t="s">
        <v>914</v>
      </c>
      <c r="S163" s="2" t="s">
        <v>63</v>
      </c>
      <c r="T163" s="2" t="s">
        <v>63</v>
      </c>
      <c r="U163" s="2" t="s">
        <v>40</v>
      </c>
      <c r="V163" s="2" t="s">
        <v>41</v>
      </c>
      <c r="W163" s="2" t="s">
        <v>915</v>
      </c>
      <c r="X163" s="2" t="s">
        <v>916</v>
      </c>
      <c r="Y163" s="2" t="s">
        <v>44</v>
      </c>
      <c r="Z163" s="2" t="b">
        <v>1</v>
      </c>
      <c r="AA163" s="2"/>
      <c r="AB163" s="2" t="s">
        <v>45</v>
      </c>
      <c r="AC163" s="2"/>
    </row>
    <row r="164" spans="1:29" x14ac:dyDescent="0.35">
      <c r="A164" s="1" t="s">
        <v>27</v>
      </c>
      <c r="B164" s="1" t="s">
        <v>28</v>
      </c>
      <c r="C164" s="1" t="s">
        <v>29</v>
      </c>
      <c r="D164" s="1" t="s">
        <v>30</v>
      </c>
      <c r="E164" s="1" t="s">
        <v>31</v>
      </c>
      <c r="F164" s="1" t="s">
        <v>618</v>
      </c>
      <c r="G164" s="1" t="s">
        <v>618</v>
      </c>
      <c r="H164" s="1" t="s">
        <v>54</v>
      </c>
      <c r="I164" s="1" t="s">
        <v>55</v>
      </c>
      <c r="J164" s="1" t="s">
        <v>308</v>
      </c>
      <c r="K164" s="1" t="s">
        <v>917</v>
      </c>
      <c r="L164" s="1" t="s">
        <v>310</v>
      </c>
      <c r="M164" t="s">
        <v>440</v>
      </c>
      <c r="N164" t="s">
        <v>338</v>
      </c>
      <c r="O164" t="s">
        <v>440</v>
      </c>
      <c r="P164" t="s">
        <v>441</v>
      </c>
      <c r="Q164" s="1" t="s">
        <v>61</v>
      </c>
      <c r="R164" s="1" t="s">
        <v>914</v>
      </c>
      <c r="S164" s="1" t="s">
        <v>63</v>
      </c>
      <c r="T164" s="1" t="s">
        <v>63</v>
      </c>
      <c r="U164" s="1" t="s">
        <v>40</v>
      </c>
      <c r="V164" s="1" t="s">
        <v>41</v>
      </c>
      <c r="W164" s="1" t="s">
        <v>920</v>
      </c>
      <c r="X164" s="1" t="s">
        <v>921</v>
      </c>
      <c r="Y164" s="1" t="s">
        <v>44</v>
      </c>
      <c r="Z164" s="1" t="b">
        <v>1</v>
      </c>
      <c r="AA164" s="1"/>
      <c r="AB164" s="1" t="s">
        <v>45</v>
      </c>
      <c r="AC164" s="1"/>
    </row>
    <row r="165" spans="1:29" x14ac:dyDescent="0.35">
      <c r="A165" s="2" t="s">
        <v>27</v>
      </c>
      <c r="B165" s="2" t="s">
        <v>28</v>
      </c>
      <c r="C165" s="2" t="s">
        <v>29</v>
      </c>
      <c r="D165" s="2" t="s">
        <v>30</v>
      </c>
      <c r="E165" s="2" t="s">
        <v>31</v>
      </c>
      <c r="F165" s="2" t="s">
        <v>618</v>
      </c>
      <c r="G165" s="2" t="s">
        <v>618</v>
      </c>
      <c r="H165" s="2" t="s">
        <v>54</v>
      </c>
      <c r="I165" s="2" t="s">
        <v>86</v>
      </c>
      <c r="J165" s="2" t="s">
        <v>308</v>
      </c>
      <c r="K165" s="2" t="s">
        <v>922</v>
      </c>
      <c r="L165" s="2" t="s">
        <v>310</v>
      </c>
      <c r="M165" t="s">
        <v>445</v>
      </c>
      <c r="N165" t="s">
        <v>338</v>
      </c>
      <c r="O165" t="s">
        <v>445</v>
      </c>
      <c r="P165" t="s">
        <v>446</v>
      </c>
      <c r="Q165" s="2" t="s">
        <v>61</v>
      </c>
      <c r="R165" s="2" t="s">
        <v>914</v>
      </c>
      <c r="S165" s="2" t="s">
        <v>63</v>
      </c>
      <c r="T165" s="2" t="s">
        <v>63</v>
      </c>
      <c r="U165" s="2" t="s">
        <v>40</v>
      </c>
      <c r="V165" s="2" t="s">
        <v>41</v>
      </c>
      <c r="W165" s="2" t="s">
        <v>925</v>
      </c>
      <c r="X165" s="2" t="s">
        <v>926</v>
      </c>
      <c r="Y165" s="2" t="s">
        <v>44</v>
      </c>
      <c r="Z165" s="2" t="b">
        <v>1</v>
      </c>
      <c r="AA165" s="2"/>
      <c r="AB165" s="2" t="s">
        <v>45</v>
      </c>
      <c r="AC165" s="2"/>
    </row>
    <row r="166" spans="1:29" x14ac:dyDescent="0.35">
      <c r="A166" s="1" t="s">
        <v>27</v>
      </c>
      <c r="B166" s="1" t="s">
        <v>28</v>
      </c>
      <c r="C166" s="1" t="s">
        <v>29</v>
      </c>
      <c r="D166" s="1" t="s">
        <v>30</v>
      </c>
      <c r="E166" s="1" t="s">
        <v>31</v>
      </c>
      <c r="F166" s="1" t="s">
        <v>618</v>
      </c>
      <c r="G166" s="1" t="s">
        <v>618</v>
      </c>
      <c r="H166" s="1" t="s">
        <v>54</v>
      </c>
      <c r="I166" s="1" t="s">
        <v>86</v>
      </c>
      <c r="J166" s="1" t="s">
        <v>308</v>
      </c>
      <c r="K166" s="1" t="s">
        <v>927</v>
      </c>
      <c r="L166" s="1" t="s">
        <v>310</v>
      </c>
      <c r="M166" t="s">
        <v>450</v>
      </c>
      <c r="N166" t="s">
        <v>338</v>
      </c>
      <c r="O166" t="s">
        <v>450</v>
      </c>
      <c r="P166" t="s">
        <v>451</v>
      </c>
      <c r="Q166" s="1" t="s">
        <v>61</v>
      </c>
      <c r="R166" s="1" t="s">
        <v>914</v>
      </c>
      <c r="S166" s="1" t="s">
        <v>63</v>
      </c>
      <c r="T166" s="1" t="s">
        <v>63</v>
      </c>
      <c r="U166" s="1" t="s">
        <v>40</v>
      </c>
      <c r="V166" s="1" t="s">
        <v>41</v>
      </c>
      <c r="W166" s="1" t="s">
        <v>930</v>
      </c>
      <c r="X166" s="1" t="s">
        <v>931</v>
      </c>
      <c r="Y166" s="1" t="s">
        <v>44</v>
      </c>
      <c r="Z166" s="1" t="b">
        <v>1</v>
      </c>
      <c r="AA166" s="1"/>
      <c r="AB166" s="1" t="s">
        <v>45</v>
      </c>
      <c r="AC166" s="1"/>
    </row>
    <row r="167" spans="1:29" x14ac:dyDescent="0.35">
      <c r="A167" s="2" t="s">
        <v>27</v>
      </c>
      <c r="B167" s="2" t="s">
        <v>28</v>
      </c>
      <c r="C167" s="2" t="s">
        <v>29</v>
      </c>
      <c r="D167" s="2" t="s">
        <v>30</v>
      </c>
      <c r="E167" s="2" t="s">
        <v>31</v>
      </c>
      <c r="F167" s="2" t="s">
        <v>618</v>
      </c>
      <c r="G167" s="2" t="s">
        <v>618</v>
      </c>
      <c r="H167" s="2" t="s">
        <v>54</v>
      </c>
      <c r="I167" s="2" t="s">
        <v>86</v>
      </c>
      <c r="J167" s="2" t="s">
        <v>308</v>
      </c>
      <c r="K167" s="2" t="s">
        <v>932</v>
      </c>
      <c r="L167" s="2" t="s">
        <v>310</v>
      </c>
      <c r="M167" t="s">
        <v>456</v>
      </c>
      <c r="N167" t="s">
        <v>338</v>
      </c>
      <c r="O167" t="s">
        <v>456</v>
      </c>
      <c r="P167" t="s">
        <v>457</v>
      </c>
      <c r="Q167" s="2" t="s">
        <v>61</v>
      </c>
      <c r="R167" s="2" t="s">
        <v>914</v>
      </c>
      <c r="S167" s="2" t="s">
        <v>63</v>
      </c>
      <c r="T167" s="2" t="s">
        <v>63</v>
      </c>
      <c r="U167" s="2" t="s">
        <v>40</v>
      </c>
      <c r="V167" s="2" t="s">
        <v>41</v>
      </c>
      <c r="W167" s="2" t="s">
        <v>935</v>
      </c>
      <c r="X167" s="2" t="s">
        <v>936</v>
      </c>
      <c r="Y167" s="2" t="s">
        <v>44</v>
      </c>
      <c r="Z167" s="2" t="b">
        <v>1</v>
      </c>
      <c r="AA167" s="2"/>
      <c r="AB167" s="2" t="s">
        <v>45</v>
      </c>
      <c r="AC167" s="2"/>
    </row>
    <row r="168" spans="1:29" x14ac:dyDescent="0.35">
      <c r="A168" s="1" t="s">
        <v>27</v>
      </c>
      <c r="B168" s="1" t="s">
        <v>28</v>
      </c>
      <c r="C168" s="1" t="s">
        <v>29</v>
      </c>
      <c r="D168" s="1" t="s">
        <v>30</v>
      </c>
      <c r="E168" s="1" t="s">
        <v>31</v>
      </c>
      <c r="F168" s="1" t="s">
        <v>618</v>
      </c>
      <c r="G168" s="1" t="s">
        <v>618</v>
      </c>
      <c r="H168" s="1" t="s">
        <v>54</v>
      </c>
      <c r="I168" s="1" t="s">
        <v>86</v>
      </c>
      <c r="J168" s="1" t="s">
        <v>308</v>
      </c>
      <c r="K168" s="1" t="s">
        <v>937</v>
      </c>
      <c r="L168" s="1" t="s">
        <v>310</v>
      </c>
      <c r="M168" t="s">
        <v>460</v>
      </c>
      <c r="N168" t="s">
        <v>338</v>
      </c>
      <c r="O168" t="s">
        <v>460</v>
      </c>
      <c r="P168" t="s">
        <v>461</v>
      </c>
      <c r="Q168" s="1" t="s">
        <v>61</v>
      </c>
      <c r="R168" s="1" t="s">
        <v>914</v>
      </c>
      <c r="S168" s="1" t="s">
        <v>63</v>
      </c>
      <c r="T168" s="1" t="s">
        <v>63</v>
      </c>
      <c r="U168" s="1" t="s">
        <v>40</v>
      </c>
      <c r="V168" s="1" t="s">
        <v>41</v>
      </c>
      <c r="W168" s="1" t="s">
        <v>940</v>
      </c>
      <c r="X168" s="1" t="s">
        <v>941</v>
      </c>
      <c r="Y168" s="1" t="s">
        <v>44</v>
      </c>
      <c r="Z168" s="1" t="b">
        <v>1</v>
      </c>
      <c r="AA168" s="1"/>
      <c r="AB168" s="1" t="s">
        <v>45</v>
      </c>
      <c r="AC168" s="1"/>
    </row>
    <row r="169" spans="1:29" x14ac:dyDescent="0.35">
      <c r="A169" s="2" t="s">
        <v>27</v>
      </c>
      <c r="B169" s="2" t="s">
        <v>28</v>
      </c>
      <c r="C169" s="2" t="s">
        <v>29</v>
      </c>
      <c r="D169" s="2" t="s">
        <v>30</v>
      </c>
      <c r="E169" s="2" t="s">
        <v>31</v>
      </c>
      <c r="F169" s="2" t="s">
        <v>618</v>
      </c>
      <c r="G169" s="2" t="s">
        <v>618</v>
      </c>
      <c r="H169" s="2" t="s">
        <v>54</v>
      </c>
      <c r="I169" s="2" t="s">
        <v>86</v>
      </c>
      <c r="J169" s="2" t="s">
        <v>308</v>
      </c>
      <c r="K169" s="2" t="s">
        <v>942</v>
      </c>
      <c r="L169" s="2" t="s">
        <v>310</v>
      </c>
      <c r="M169" t="s">
        <v>465</v>
      </c>
      <c r="N169" t="s">
        <v>338</v>
      </c>
      <c r="O169" t="s">
        <v>465</v>
      </c>
      <c r="P169" t="s">
        <v>466</v>
      </c>
      <c r="Q169" s="2" t="s">
        <v>61</v>
      </c>
      <c r="R169" s="2" t="s">
        <v>914</v>
      </c>
      <c r="S169" s="2" t="s">
        <v>63</v>
      </c>
      <c r="T169" s="2" t="s">
        <v>63</v>
      </c>
      <c r="U169" s="2" t="s">
        <v>40</v>
      </c>
      <c r="V169" s="2" t="s">
        <v>41</v>
      </c>
      <c r="W169" s="2" t="s">
        <v>945</v>
      </c>
      <c r="X169" s="2" t="s">
        <v>946</v>
      </c>
      <c r="Y169" s="2" t="s">
        <v>44</v>
      </c>
      <c r="Z169" s="2" t="b">
        <v>1</v>
      </c>
      <c r="AA169" s="2"/>
      <c r="AB169" s="2" t="s">
        <v>45</v>
      </c>
      <c r="AC169" s="2"/>
    </row>
    <row r="170" spans="1:29" x14ac:dyDescent="0.35">
      <c r="A170" s="1" t="s">
        <v>27</v>
      </c>
      <c r="B170" s="1" t="s">
        <v>28</v>
      </c>
      <c r="C170" s="1" t="s">
        <v>29</v>
      </c>
      <c r="D170" s="1" t="s">
        <v>30</v>
      </c>
      <c r="E170" s="1" t="s">
        <v>31</v>
      </c>
      <c r="F170" s="1" t="s">
        <v>618</v>
      </c>
      <c r="G170" s="1" t="s">
        <v>618</v>
      </c>
      <c r="H170" s="1" t="s">
        <v>54</v>
      </c>
      <c r="I170" s="1" t="s">
        <v>86</v>
      </c>
      <c r="J170" s="1" t="s">
        <v>308</v>
      </c>
      <c r="K170" s="1" t="s">
        <v>947</v>
      </c>
      <c r="L170" s="1" t="s">
        <v>310</v>
      </c>
      <c r="M170" t="s">
        <v>469</v>
      </c>
      <c r="N170" t="s">
        <v>338</v>
      </c>
      <c r="O170" t="s">
        <v>469</v>
      </c>
      <c r="P170" t="s">
        <v>470</v>
      </c>
      <c r="Q170" s="1" t="s">
        <v>61</v>
      </c>
      <c r="R170" s="1" t="s">
        <v>914</v>
      </c>
      <c r="S170" s="1" t="s">
        <v>63</v>
      </c>
      <c r="T170" s="1" t="s">
        <v>63</v>
      </c>
      <c r="U170" s="1" t="s">
        <v>40</v>
      </c>
      <c r="V170" s="1" t="s">
        <v>41</v>
      </c>
      <c r="W170" s="1" t="s">
        <v>950</v>
      </c>
      <c r="X170" s="1" t="s">
        <v>951</v>
      </c>
      <c r="Y170" s="1" t="s">
        <v>44</v>
      </c>
      <c r="Z170" s="1" t="b">
        <v>1</v>
      </c>
      <c r="AA170" s="1"/>
      <c r="AB170" s="1" t="s">
        <v>45</v>
      </c>
      <c r="AC170" s="1"/>
    </row>
    <row r="171" spans="1:29" x14ac:dyDescent="0.35">
      <c r="A171" s="2" t="s">
        <v>27</v>
      </c>
      <c r="B171" s="2" t="s">
        <v>28</v>
      </c>
      <c r="C171" s="2" t="s">
        <v>29</v>
      </c>
      <c r="D171" s="2" t="s">
        <v>30</v>
      </c>
      <c r="E171" s="2" t="s">
        <v>31</v>
      </c>
      <c r="F171" s="2" t="s">
        <v>618</v>
      </c>
      <c r="G171" s="2" t="s">
        <v>618</v>
      </c>
      <c r="H171" s="2" t="s">
        <v>54</v>
      </c>
      <c r="I171" s="2" t="s">
        <v>86</v>
      </c>
      <c r="J171" s="2" t="s">
        <v>308</v>
      </c>
      <c r="K171" s="2" t="s">
        <v>952</v>
      </c>
      <c r="L171" s="2" t="s">
        <v>310</v>
      </c>
      <c r="M171" t="s">
        <v>473</v>
      </c>
      <c r="N171" t="s">
        <v>338</v>
      </c>
      <c r="O171" t="s">
        <v>473</v>
      </c>
      <c r="P171" t="s">
        <v>474</v>
      </c>
      <c r="Q171" s="2" t="s">
        <v>61</v>
      </c>
      <c r="R171" s="2" t="s">
        <v>914</v>
      </c>
      <c r="S171" s="2" t="s">
        <v>63</v>
      </c>
      <c r="T171" s="2" t="s">
        <v>63</v>
      </c>
      <c r="U171" s="2" t="s">
        <v>40</v>
      </c>
      <c r="V171" s="2" t="s">
        <v>41</v>
      </c>
      <c r="W171" s="2" t="s">
        <v>955</v>
      </c>
      <c r="X171" s="2" t="s">
        <v>956</v>
      </c>
      <c r="Y171" s="2" t="s">
        <v>44</v>
      </c>
      <c r="Z171" s="2" t="b">
        <v>1</v>
      </c>
      <c r="AA171" s="2"/>
      <c r="AB171" s="2" t="s">
        <v>45</v>
      </c>
      <c r="AC171" s="2"/>
    </row>
    <row r="172" spans="1:29" x14ac:dyDescent="0.35">
      <c r="A172" s="1" t="s">
        <v>27</v>
      </c>
      <c r="B172" s="1" t="s">
        <v>28</v>
      </c>
      <c r="C172" s="1" t="s">
        <v>29</v>
      </c>
      <c r="D172" s="1" t="s">
        <v>30</v>
      </c>
      <c r="E172" s="1" t="s">
        <v>31</v>
      </c>
      <c r="F172" s="1" t="s">
        <v>618</v>
      </c>
      <c r="G172" s="1" t="s">
        <v>618</v>
      </c>
      <c r="H172" s="1" t="s">
        <v>54</v>
      </c>
      <c r="I172" s="1" t="s">
        <v>86</v>
      </c>
      <c r="J172" s="1" t="s">
        <v>308</v>
      </c>
      <c r="K172" s="1" t="s">
        <v>957</v>
      </c>
      <c r="L172" s="1" t="s">
        <v>310</v>
      </c>
      <c r="M172" t="s">
        <v>478</v>
      </c>
      <c r="N172" t="s">
        <v>338</v>
      </c>
      <c r="O172" t="s">
        <v>478</v>
      </c>
      <c r="P172" t="s">
        <v>479</v>
      </c>
      <c r="Q172" s="1" t="s">
        <v>61</v>
      </c>
      <c r="R172" s="1" t="s">
        <v>914</v>
      </c>
      <c r="S172" s="1" t="s">
        <v>63</v>
      </c>
      <c r="T172" s="1" t="s">
        <v>63</v>
      </c>
      <c r="U172" s="1" t="s">
        <v>40</v>
      </c>
      <c r="V172" s="1" t="s">
        <v>41</v>
      </c>
      <c r="W172" s="1" t="s">
        <v>960</v>
      </c>
      <c r="X172" s="1" t="s">
        <v>961</v>
      </c>
      <c r="Y172" s="1" t="s">
        <v>44</v>
      </c>
      <c r="Z172" s="1" t="b">
        <v>1</v>
      </c>
      <c r="AA172" s="1"/>
      <c r="AB172" s="1" t="s">
        <v>45</v>
      </c>
      <c r="AC172" s="1"/>
    </row>
    <row r="173" spans="1:29" x14ac:dyDescent="0.35">
      <c r="A173" s="2" t="s">
        <v>27</v>
      </c>
      <c r="B173" s="2" t="s">
        <v>28</v>
      </c>
      <c r="C173" s="2" t="s">
        <v>29</v>
      </c>
      <c r="D173" s="2" t="s">
        <v>30</v>
      </c>
      <c r="E173" s="2" t="s">
        <v>31</v>
      </c>
      <c r="F173" s="2" t="s">
        <v>618</v>
      </c>
      <c r="G173" s="2" t="s">
        <v>618</v>
      </c>
      <c r="H173" s="2" t="s">
        <v>54</v>
      </c>
      <c r="I173" s="2" t="s">
        <v>86</v>
      </c>
      <c r="J173" s="2" t="s">
        <v>308</v>
      </c>
      <c r="K173" s="2" t="s">
        <v>962</v>
      </c>
      <c r="L173" s="2" t="s">
        <v>310</v>
      </c>
      <c r="M173" t="s">
        <v>483</v>
      </c>
      <c r="N173" t="s">
        <v>338</v>
      </c>
      <c r="O173" t="s">
        <v>483</v>
      </c>
      <c r="P173" t="s">
        <v>484</v>
      </c>
      <c r="Q173" s="2" t="s">
        <v>61</v>
      </c>
      <c r="R173" s="2" t="s">
        <v>914</v>
      </c>
      <c r="S173" s="2" t="s">
        <v>63</v>
      </c>
      <c r="T173" s="2" t="s">
        <v>63</v>
      </c>
      <c r="U173" s="2" t="s">
        <v>40</v>
      </c>
      <c r="V173" s="2" t="s">
        <v>41</v>
      </c>
      <c r="W173" s="2" t="s">
        <v>965</v>
      </c>
      <c r="X173" s="2" t="s">
        <v>966</v>
      </c>
      <c r="Y173" s="2" t="s">
        <v>44</v>
      </c>
      <c r="Z173" s="2" t="b">
        <v>1</v>
      </c>
      <c r="AA173" s="2"/>
      <c r="AB173" s="2" t="s">
        <v>45</v>
      </c>
      <c r="AC173" s="2"/>
    </row>
    <row r="174" spans="1:29" x14ac:dyDescent="0.35">
      <c r="A174" s="1" t="s">
        <v>27</v>
      </c>
      <c r="B174" s="1" t="s">
        <v>28</v>
      </c>
      <c r="C174" s="1" t="s">
        <v>29</v>
      </c>
      <c r="D174" s="1" t="s">
        <v>30</v>
      </c>
      <c r="E174" s="1" t="s">
        <v>31</v>
      </c>
      <c r="F174" s="1" t="s">
        <v>618</v>
      </c>
      <c r="G174" s="1" t="s">
        <v>618</v>
      </c>
      <c r="H174" s="1" t="s">
        <v>54</v>
      </c>
      <c r="I174" s="1" t="s">
        <v>86</v>
      </c>
      <c r="J174" s="1" t="s">
        <v>308</v>
      </c>
      <c r="K174" s="1" t="s">
        <v>967</v>
      </c>
      <c r="L174" s="1" t="s">
        <v>310</v>
      </c>
      <c r="M174" t="s">
        <v>488</v>
      </c>
      <c r="N174" t="s">
        <v>338</v>
      </c>
      <c r="O174" t="s">
        <v>488</v>
      </c>
      <c r="P174" t="s">
        <v>489</v>
      </c>
      <c r="Q174" s="1" t="s">
        <v>61</v>
      </c>
      <c r="R174" s="1" t="s">
        <v>914</v>
      </c>
      <c r="S174" s="1" t="s">
        <v>63</v>
      </c>
      <c r="T174" s="1" t="s">
        <v>63</v>
      </c>
      <c r="U174" s="1" t="s">
        <v>40</v>
      </c>
      <c r="V174" s="1" t="s">
        <v>41</v>
      </c>
      <c r="W174" s="1" t="s">
        <v>970</v>
      </c>
      <c r="X174" s="1" t="s">
        <v>971</v>
      </c>
      <c r="Y174" s="1" t="s">
        <v>44</v>
      </c>
      <c r="Z174" s="1" t="b">
        <v>1</v>
      </c>
      <c r="AA174" s="1"/>
      <c r="AB174" s="1" t="s">
        <v>45</v>
      </c>
      <c r="AC174" s="1"/>
    </row>
    <row r="175" spans="1:29" x14ac:dyDescent="0.35">
      <c r="A175" s="2" t="s">
        <v>27</v>
      </c>
      <c r="B175" s="2" t="s">
        <v>28</v>
      </c>
      <c r="C175" s="2" t="s">
        <v>29</v>
      </c>
      <c r="D175" s="2" t="s">
        <v>30</v>
      </c>
      <c r="E175" s="2" t="s">
        <v>31</v>
      </c>
      <c r="F175" s="2" t="s">
        <v>618</v>
      </c>
      <c r="G175" s="2" t="s">
        <v>618</v>
      </c>
      <c r="H175" s="2" t="s">
        <v>54</v>
      </c>
      <c r="I175" s="2" t="s">
        <v>86</v>
      </c>
      <c r="J175" s="2" t="s">
        <v>308</v>
      </c>
      <c r="K175" s="2" t="s">
        <v>972</v>
      </c>
      <c r="L175" s="2" t="s">
        <v>310</v>
      </c>
      <c r="M175" t="s">
        <v>493</v>
      </c>
      <c r="N175" t="s">
        <v>338</v>
      </c>
      <c r="O175" t="s">
        <v>493</v>
      </c>
      <c r="P175" t="s">
        <v>494</v>
      </c>
      <c r="Q175" s="2" t="s">
        <v>61</v>
      </c>
      <c r="R175" s="2" t="s">
        <v>914</v>
      </c>
      <c r="S175" s="2" t="s">
        <v>63</v>
      </c>
      <c r="T175" s="2" t="s">
        <v>63</v>
      </c>
      <c r="U175" s="2" t="s">
        <v>40</v>
      </c>
      <c r="V175" s="2" t="s">
        <v>41</v>
      </c>
      <c r="W175" s="2" t="s">
        <v>975</v>
      </c>
      <c r="X175" s="2" t="s">
        <v>976</v>
      </c>
      <c r="Y175" s="2" t="s">
        <v>44</v>
      </c>
      <c r="Z175" s="2" t="b">
        <v>1</v>
      </c>
      <c r="AA175" s="2"/>
      <c r="AB175" s="2" t="s">
        <v>45</v>
      </c>
      <c r="AC175" s="2"/>
    </row>
    <row r="176" spans="1:29" x14ac:dyDescent="0.35">
      <c r="A176" s="1" t="s">
        <v>27</v>
      </c>
      <c r="B176" s="1" t="s">
        <v>28</v>
      </c>
      <c r="C176" s="1" t="s">
        <v>29</v>
      </c>
      <c r="D176" s="1" t="s">
        <v>30</v>
      </c>
      <c r="E176" s="1" t="s">
        <v>31</v>
      </c>
      <c r="F176" s="1" t="s">
        <v>618</v>
      </c>
      <c r="G176" s="1" t="s">
        <v>618</v>
      </c>
      <c r="H176" s="1" t="s">
        <v>54</v>
      </c>
      <c r="I176" s="1" t="s">
        <v>86</v>
      </c>
      <c r="J176" s="1" t="s">
        <v>308</v>
      </c>
      <c r="K176" s="1" t="s">
        <v>977</v>
      </c>
      <c r="L176" s="1" t="s">
        <v>310</v>
      </c>
      <c r="M176" t="s">
        <v>498</v>
      </c>
      <c r="N176" t="s">
        <v>338</v>
      </c>
      <c r="O176" t="s">
        <v>498</v>
      </c>
      <c r="P176" t="s">
        <v>499</v>
      </c>
      <c r="Q176" s="1" t="s">
        <v>61</v>
      </c>
      <c r="R176" s="1" t="s">
        <v>914</v>
      </c>
      <c r="S176" s="1" t="s">
        <v>63</v>
      </c>
      <c r="T176" s="1" t="s">
        <v>63</v>
      </c>
      <c r="U176" s="1" t="s">
        <v>40</v>
      </c>
      <c r="V176" s="1" t="s">
        <v>41</v>
      </c>
      <c r="W176" s="1" t="s">
        <v>980</v>
      </c>
      <c r="X176" s="1" t="s">
        <v>981</v>
      </c>
      <c r="Y176" s="1" t="s">
        <v>44</v>
      </c>
      <c r="Z176" s="1" t="b">
        <v>1</v>
      </c>
      <c r="AA176" s="1"/>
      <c r="AB176" s="1" t="s">
        <v>45</v>
      </c>
      <c r="AC176" s="1"/>
    </row>
    <row r="177" spans="1:29" x14ac:dyDescent="0.35">
      <c r="A177" s="2" t="s">
        <v>27</v>
      </c>
      <c r="B177" s="2" t="s">
        <v>28</v>
      </c>
      <c r="C177" s="2" t="s">
        <v>29</v>
      </c>
      <c r="D177" s="2" t="s">
        <v>30</v>
      </c>
      <c r="E177" s="2" t="s">
        <v>31</v>
      </c>
      <c r="F177" s="2" t="s">
        <v>618</v>
      </c>
      <c r="G177" s="2" t="s">
        <v>618</v>
      </c>
      <c r="H177" s="2" t="s">
        <v>54</v>
      </c>
      <c r="I177" s="2" t="s">
        <v>86</v>
      </c>
      <c r="J177" s="2" t="s">
        <v>308</v>
      </c>
      <c r="K177" s="2" t="s">
        <v>982</v>
      </c>
      <c r="L177" s="2" t="s">
        <v>310</v>
      </c>
      <c r="M177" t="s">
        <v>503</v>
      </c>
      <c r="N177" t="s">
        <v>338</v>
      </c>
      <c r="O177" t="s">
        <v>503</v>
      </c>
      <c r="P177" t="s">
        <v>504</v>
      </c>
      <c r="Q177" s="2" t="s">
        <v>61</v>
      </c>
      <c r="R177" s="2" t="s">
        <v>914</v>
      </c>
      <c r="S177" s="2" t="s">
        <v>63</v>
      </c>
      <c r="T177" s="2" t="s">
        <v>63</v>
      </c>
      <c r="U177" s="2" t="s">
        <v>40</v>
      </c>
      <c r="V177" s="2" t="s">
        <v>41</v>
      </c>
      <c r="W177" s="2" t="s">
        <v>985</v>
      </c>
      <c r="X177" s="2" t="s">
        <v>986</v>
      </c>
      <c r="Y177" s="2" t="s">
        <v>44</v>
      </c>
      <c r="Z177" s="2" t="b">
        <v>1</v>
      </c>
      <c r="AA177" s="2"/>
      <c r="AB177" s="2" t="s">
        <v>45</v>
      </c>
      <c r="AC177" s="2"/>
    </row>
    <row r="178" spans="1:29" x14ac:dyDescent="0.35">
      <c r="A178" s="1" t="s">
        <v>27</v>
      </c>
      <c r="B178" s="1" t="s">
        <v>28</v>
      </c>
      <c r="C178" s="1" t="s">
        <v>29</v>
      </c>
      <c r="D178" s="1" t="s">
        <v>30</v>
      </c>
      <c r="E178" s="1" t="s">
        <v>31</v>
      </c>
      <c r="F178" s="1" t="s">
        <v>618</v>
      </c>
      <c r="G178" s="1" t="s">
        <v>618</v>
      </c>
      <c r="H178" s="1" t="s">
        <v>54</v>
      </c>
      <c r="I178" s="1" t="s">
        <v>86</v>
      </c>
      <c r="J178" s="1" t="s">
        <v>308</v>
      </c>
      <c r="K178" s="1" t="s">
        <v>987</v>
      </c>
      <c r="L178" s="1" t="s">
        <v>310</v>
      </c>
      <c r="M178" t="s">
        <v>509</v>
      </c>
      <c r="N178" t="s">
        <v>338</v>
      </c>
      <c r="O178" t="s">
        <v>509</v>
      </c>
      <c r="P178" t="s">
        <v>510</v>
      </c>
      <c r="Q178" s="1" t="s">
        <v>61</v>
      </c>
      <c r="R178" s="1" t="s">
        <v>914</v>
      </c>
      <c r="S178" s="1" t="s">
        <v>63</v>
      </c>
      <c r="T178" s="1" t="s">
        <v>63</v>
      </c>
      <c r="U178" s="1" t="s">
        <v>40</v>
      </c>
      <c r="V178" s="1" t="s">
        <v>41</v>
      </c>
      <c r="W178" s="1" t="s">
        <v>990</v>
      </c>
      <c r="X178" s="1" t="s">
        <v>991</v>
      </c>
      <c r="Y178" s="1" t="s">
        <v>44</v>
      </c>
      <c r="Z178" s="1" t="b">
        <v>1</v>
      </c>
      <c r="AA178" s="1"/>
      <c r="AB178" s="1" t="s">
        <v>45</v>
      </c>
      <c r="AC178" s="1"/>
    </row>
    <row r="179" spans="1:29" x14ac:dyDescent="0.35">
      <c r="A179" s="2" t="s">
        <v>27</v>
      </c>
      <c r="B179" s="2" t="s">
        <v>28</v>
      </c>
      <c r="C179" s="2" t="s">
        <v>29</v>
      </c>
      <c r="D179" s="2" t="s">
        <v>30</v>
      </c>
      <c r="E179" s="2" t="s">
        <v>31</v>
      </c>
      <c r="F179" s="2" t="s">
        <v>618</v>
      </c>
      <c r="G179" s="2" t="s">
        <v>618</v>
      </c>
      <c r="H179" s="2" t="s">
        <v>54</v>
      </c>
      <c r="I179" s="2" t="s">
        <v>86</v>
      </c>
      <c r="J179" s="2" t="s">
        <v>308</v>
      </c>
      <c r="K179" s="2" t="s">
        <v>992</v>
      </c>
      <c r="L179" s="2" t="s">
        <v>310</v>
      </c>
      <c r="M179" t="s">
        <v>514</v>
      </c>
      <c r="N179" t="s">
        <v>338</v>
      </c>
      <c r="O179" t="s">
        <v>514</v>
      </c>
      <c r="P179" t="s">
        <v>515</v>
      </c>
      <c r="Q179" s="2" t="s">
        <v>61</v>
      </c>
      <c r="R179" s="2" t="s">
        <v>914</v>
      </c>
      <c r="S179" s="2" t="s">
        <v>63</v>
      </c>
      <c r="T179" s="2" t="s">
        <v>63</v>
      </c>
      <c r="U179" s="2" t="s">
        <v>40</v>
      </c>
      <c r="V179" s="2" t="s">
        <v>41</v>
      </c>
      <c r="W179" s="2" t="s">
        <v>995</v>
      </c>
      <c r="X179" s="2" t="s">
        <v>996</v>
      </c>
      <c r="Y179" s="2" t="s">
        <v>44</v>
      </c>
      <c r="Z179" s="2" t="b">
        <v>1</v>
      </c>
      <c r="AA179" s="2"/>
      <c r="AB179" s="2" t="s">
        <v>45</v>
      </c>
      <c r="AC179" s="2"/>
    </row>
    <row r="180" spans="1:29" x14ac:dyDescent="0.35">
      <c r="A180" s="1" t="s">
        <v>27</v>
      </c>
      <c r="B180" s="1" t="s">
        <v>28</v>
      </c>
      <c r="C180" s="1" t="s">
        <v>29</v>
      </c>
      <c r="D180" s="1" t="s">
        <v>30</v>
      </c>
      <c r="E180" s="1" t="s">
        <v>31</v>
      </c>
      <c r="F180" s="1" t="s">
        <v>618</v>
      </c>
      <c r="G180" s="1" t="s">
        <v>618</v>
      </c>
      <c r="H180" s="1" t="s">
        <v>54</v>
      </c>
      <c r="I180" s="1" t="s">
        <v>86</v>
      </c>
      <c r="J180" s="1" t="s">
        <v>308</v>
      </c>
      <c r="K180" s="1" t="s">
        <v>997</v>
      </c>
      <c r="L180" s="1" t="s">
        <v>310</v>
      </c>
      <c r="M180" t="s">
        <v>519</v>
      </c>
      <c r="N180" t="s">
        <v>338</v>
      </c>
      <c r="O180" t="s">
        <v>519</v>
      </c>
      <c r="P180" t="s">
        <v>520</v>
      </c>
      <c r="Q180" s="1" t="s">
        <v>61</v>
      </c>
      <c r="R180" s="1" t="s">
        <v>914</v>
      </c>
      <c r="S180" s="1" t="s">
        <v>63</v>
      </c>
      <c r="T180" s="1" t="s">
        <v>63</v>
      </c>
      <c r="U180" s="1" t="s">
        <v>40</v>
      </c>
      <c r="V180" s="1" t="s">
        <v>41</v>
      </c>
      <c r="W180" s="1" t="s">
        <v>1000</v>
      </c>
      <c r="X180" s="1" t="s">
        <v>1001</v>
      </c>
      <c r="Y180" s="1" t="s">
        <v>44</v>
      </c>
      <c r="Z180" s="1" t="b">
        <v>1</v>
      </c>
      <c r="AA180" s="1"/>
      <c r="AB180" s="1" t="s">
        <v>45</v>
      </c>
      <c r="AC180" s="1"/>
    </row>
    <row r="181" spans="1:29" x14ac:dyDescent="0.35">
      <c r="A181" s="2" t="s">
        <v>27</v>
      </c>
      <c r="B181" s="2" t="s">
        <v>28</v>
      </c>
      <c r="C181" s="2" t="s">
        <v>29</v>
      </c>
      <c r="D181" s="2" t="s">
        <v>30</v>
      </c>
      <c r="E181" s="2" t="s">
        <v>31</v>
      </c>
      <c r="F181" s="2" t="s">
        <v>618</v>
      </c>
      <c r="G181" s="2" t="s">
        <v>618</v>
      </c>
      <c r="H181" s="2" t="s">
        <v>54</v>
      </c>
      <c r="I181" s="2" t="s">
        <v>86</v>
      </c>
      <c r="J181" s="2" t="s">
        <v>308</v>
      </c>
      <c r="K181" s="2" t="s">
        <v>1002</v>
      </c>
      <c r="L181" s="2" t="s">
        <v>310</v>
      </c>
      <c r="M181" t="s">
        <v>524</v>
      </c>
      <c r="N181" t="s">
        <v>338</v>
      </c>
      <c r="O181" t="s">
        <v>524</v>
      </c>
      <c r="P181" t="s">
        <v>525</v>
      </c>
      <c r="Q181" s="2" t="s">
        <v>61</v>
      </c>
      <c r="R181" s="2" t="s">
        <v>914</v>
      </c>
      <c r="S181" s="2" t="s">
        <v>63</v>
      </c>
      <c r="T181" s="2" t="s">
        <v>63</v>
      </c>
      <c r="U181" s="2" t="s">
        <v>40</v>
      </c>
      <c r="V181" s="2" t="s">
        <v>41</v>
      </c>
      <c r="W181" s="2" t="s">
        <v>1005</v>
      </c>
      <c r="X181" s="2" t="s">
        <v>1006</v>
      </c>
      <c r="Y181" s="2" t="s">
        <v>44</v>
      </c>
      <c r="Z181" s="2" t="b">
        <v>1</v>
      </c>
      <c r="AA181" s="2"/>
      <c r="AB181" s="2" t="s">
        <v>45</v>
      </c>
      <c r="AC181" s="2"/>
    </row>
    <row r="182" spans="1:29" x14ac:dyDescent="0.35">
      <c r="A182" s="1" t="s">
        <v>27</v>
      </c>
      <c r="B182" s="1" t="s">
        <v>28</v>
      </c>
      <c r="C182" s="1" t="s">
        <v>29</v>
      </c>
      <c r="D182" s="1" t="s">
        <v>30</v>
      </c>
      <c r="E182" s="1" t="s">
        <v>31</v>
      </c>
      <c r="F182" s="1" t="s">
        <v>618</v>
      </c>
      <c r="G182" s="1" t="s">
        <v>618</v>
      </c>
      <c r="H182" s="1" t="s">
        <v>54</v>
      </c>
      <c r="I182" s="1" t="s">
        <v>86</v>
      </c>
      <c r="J182" s="1" t="s">
        <v>308</v>
      </c>
      <c r="K182" s="1" t="s">
        <v>1007</v>
      </c>
      <c r="L182" s="1" t="s">
        <v>310</v>
      </c>
      <c r="M182" t="s">
        <v>529</v>
      </c>
      <c r="N182" t="s">
        <v>338</v>
      </c>
      <c r="O182" t="s">
        <v>529</v>
      </c>
      <c r="P182" t="s">
        <v>530</v>
      </c>
      <c r="Q182" s="1" t="s">
        <v>61</v>
      </c>
      <c r="R182" s="1" t="s">
        <v>914</v>
      </c>
      <c r="S182" s="1" t="s">
        <v>63</v>
      </c>
      <c r="T182" s="1" t="s">
        <v>63</v>
      </c>
      <c r="U182" s="1" t="s">
        <v>40</v>
      </c>
      <c r="V182" s="1" t="s">
        <v>41</v>
      </c>
      <c r="W182" s="1" t="s">
        <v>1010</v>
      </c>
      <c r="X182" s="1" t="s">
        <v>1011</v>
      </c>
      <c r="Y182" s="1" t="s">
        <v>44</v>
      </c>
      <c r="Z182" s="1" t="b">
        <v>1</v>
      </c>
      <c r="AA182" s="1"/>
      <c r="AB182" s="1" t="s">
        <v>45</v>
      </c>
      <c r="AC182" s="1"/>
    </row>
    <row r="183" spans="1:29" x14ac:dyDescent="0.35">
      <c r="A183" s="2" t="s">
        <v>27</v>
      </c>
      <c r="B183" s="2" t="s">
        <v>28</v>
      </c>
      <c r="C183" s="2" t="s">
        <v>29</v>
      </c>
      <c r="D183" s="2" t="s">
        <v>30</v>
      </c>
      <c r="E183" s="2" t="s">
        <v>31</v>
      </c>
      <c r="F183" s="2" t="s">
        <v>618</v>
      </c>
      <c r="G183" s="2" t="s">
        <v>618</v>
      </c>
      <c r="H183" s="2" t="s">
        <v>54</v>
      </c>
      <c r="I183" s="2" t="s">
        <v>86</v>
      </c>
      <c r="J183" s="2" t="s">
        <v>308</v>
      </c>
      <c r="K183" s="2" t="s">
        <v>1012</v>
      </c>
      <c r="L183" s="2" t="s">
        <v>310</v>
      </c>
      <c r="M183" t="s">
        <v>535</v>
      </c>
      <c r="N183" t="s">
        <v>338</v>
      </c>
      <c r="O183" t="s">
        <v>535</v>
      </c>
      <c r="P183" t="s">
        <v>536</v>
      </c>
      <c r="Q183" s="2" t="s">
        <v>61</v>
      </c>
      <c r="R183" s="2" t="s">
        <v>914</v>
      </c>
      <c r="S183" s="2" t="s">
        <v>63</v>
      </c>
      <c r="T183" s="2" t="s">
        <v>63</v>
      </c>
      <c r="U183" s="2" t="s">
        <v>40</v>
      </c>
      <c r="V183" s="2" t="s">
        <v>41</v>
      </c>
      <c r="W183" s="2" t="s">
        <v>1015</v>
      </c>
      <c r="X183" s="2" t="s">
        <v>1016</v>
      </c>
      <c r="Y183" s="2" t="s">
        <v>44</v>
      </c>
      <c r="Z183" s="2" t="b">
        <v>1</v>
      </c>
      <c r="AA183" s="2"/>
      <c r="AB183" s="2" t="s">
        <v>45</v>
      </c>
      <c r="AC183" s="2"/>
    </row>
    <row r="184" spans="1:29" x14ac:dyDescent="0.35">
      <c r="A184" s="1" t="s">
        <v>27</v>
      </c>
      <c r="B184" s="1" t="s">
        <v>28</v>
      </c>
      <c r="C184" s="1" t="s">
        <v>29</v>
      </c>
      <c r="D184" s="1" t="s">
        <v>30</v>
      </c>
      <c r="E184" s="1" t="s">
        <v>31</v>
      </c>
      <c r="F184" s="1" t="s">
        <v>618</v>
      </c>
      <c r="G184" s="1" t="s">
        <v>618</v>
      </c>
      <c r="H184" s="1" t="s">
        <v>54</v>
      </c>
      <c r="I184" s="1" t="s">
        <v>86</v>
      </c>
      <c r="J184" s="1" t="s">
        <v>308</v>
      </c>
      <c r="K184" s="1" t="s">
        <v>1017</v>
      </c>
      <c r="L184" s="1" t="s">
        <v>310</v>
      </c>
      <c r="M184" t="s">
        <v>540</v>
      </c>
      <c r="N184" t="s">
        <v>338</v>
      </c>
      <c r="O184" t="s">
        <v>540</v>
      </c>
      <c r="P184" t="s">
        <v>541</v>
      </c>
      <c r="Q184" s="1" t="s">
        <v>61</v>
      </c>
      <c r="R184" s="1" t="s">
        <v>914</v>
      </c>
      <c r="S184" s="1" t="s">
        <v>63</v>
      </c>
      <c r="T184" s="1" t="s">
        <v>63</v>
      </c>
      <c r="U184" s="1" t="s">
        <v>40</v>
      </c>
      <c r="V184" s="1" t="s">
        <v>41</v>
      </c>
      <c r="W184" s="1" t="s">
        <v>1020</v>
      </c>
      <c r="X184" s="1" t="s">
        <v>1021</v>
      </c>
      <c r="Y184" s="1" t="s">
        <v>44</v>
      </c>
      <c r="Z184" s="1" t="b">
        <v>1</v>
      </c>
      <c r="AA184" s="1"/>
      <c r="AB184" s="1" t="s">
        <v>45</v>
      </c>
      <c r="AC184" s="1"/>
    </row>
    <row r="185" spans="1:29" x14ac:dyDescent="0.35">
      <c r="A185" s="2" t="s">
        <v>27</v>
      </c>
      <c r="B185" s="2" t="s">
        <v>28</v>
      </c>
      <c r="C185" s="2" t="s">
        <v>29</v>
      </c>
      <c r="D185" s="2" t="s">
        <v>30</v>
      </c>
      <c r="E185" s="2" t="s">
        <v>31</v>
      </c>
      <c r="F185" s="2" t="s">
        <v>618</v>
      </c>
      <c r="G185" s="2" t="s">
        <v>618</v>
      </c>
      <c r="H185" s="2" t="s">
        <v>54</v>
      </c>
      <c r="I185" s="2" t="s">
        <v>86</v>
      </c>
      <c r="J185" s="2" t="s">
        <v>308</v>
      </c>
      <c r="K185" s="2" t="s">
        <v>1022</v>
      </c>
      <c r="L185" s="2" t="s">
        <v>310</v>
      </c>
      <c r="M185" t="s">
        <v>545</v>
      </c>
      <c r="N185" t="s">
        <v>338</v>
      </c>
      <c r="O185" t="s">
        <v>545</v>
      </c>
      <c r="P185" t="s">
        <v>546</v>
      </c>
      <c r="Q185" s="2" t="s">
        <v>61</v>
      </c>
      <c r="R185" s="2" t="s">
        <v>914</v>
      </c>
      <c r="S185" s="2" t="s">
        <v>63</v>
      </c>
      <c r="T185" s="2" t="s">
        <v>63</v>
      </c>
      <c r="U185" s="2" t="s">
        <v>40</v>
      </c>
      <c r="V185" s="2" t="s">
        <v>41</v>
      </c>
      <c r="W185" s="2" t="s">
        <v>1025</v>
      </c>
      <c r="X185" s="2" t="s">
        <v>1026</v>
      </c>
      <c r="Y185" s="2" t="s">
        <v>44</v>
      </c>
      <c r="Z185" s="2" t="b">
        <v>1</v>
      </c>
      <c r="AA185" s="2"/>
      <c r="AB185" s="2" t="s">
        <v>45</v>
      </c>
      <c r="AC185" s="2"/>
    </row>
    <row r="186" spans="1:29" x14ac:dyDescent="0.35">
      <c r="A186" s="1" t="s">
        <v>27</v>
      </c>
      <c r="B186" s="1" t="s">
        <v>28</v>
      </c>
      <c r="C186" s="1" t="s">
        <v>29</v>
      </c>
      <c r="D186" s="1" t="s">
        <v>30</v>
      </c>
      <c r="E186" s="1" t="s">
        <v>31</v>
      </c>
      <c r="F186" s="1" t="s">
        <v>618</v>
      </c>
      <c r="G186" s="1" t="s">
        <v>618</v>
      </c>
      <c r="H186" s="1" t="s">
        <v>54</v>
      </c>
      <c r="I186" s="1" t="s">
        <v>86</v>
      </c>
      <c r="J186" s="1" t="s">
        <v>308</v>
      </c>
      <c r="K186" s="1" t="s">
        <v>1027</v>
      </c>
      <c r="L186" s="1" t="s">
        <v>310</v>
      </c>
      <c r="M186" t="s">
        <v>445</v>
      </c>
      <c r="N186" t="s">
        <v>338</v>
      </c>
      <c r="O186" t="s">
        <v>445</v>
      </c>
      <c r="P186" t="s">
        <v>549</v>
      </c>
      <c r="Q186" s="1" t="s">
        <v>61</v>
      </c>
      <c r="R186" s="1" t="s">
        <v>914</v>
      </c>
      <c r="S186" s="1" t="s">
        <v>63</v>
      </c>
      <c r="T186" s="1" t="s">
        <v>63</v>
      </c>
      <c r="U186" s="1" t="s">
        <v>40</v>
      </c>
      <c r="V186" s="1" t="s">
        <v>41</v>
      </c>
      <c r="W186" s="1" t="s">
        <v>1030</v>
      </c>
      <c r="X186" s="1" t="s">
        <v>1031</v>
      </c>
      <c r="Y186" s="1" t="s">
        <v>44</v>
      </c>
      <c r="Z186" s="1" t="b">
        <v>1</v>
      </c>
      <c r="AA186" s="1"/>
      <c r="AB186" s="1" t="s">
        <v>45</v>
      </c>
      <c r="AC186" s="1"/>
    </row>
    <row r="187" spans="1:29" x14ac:dyDescent="0.35">
      <c r="A187" s="2" t="s">
        <v>27</v>
      </c>
      <c r="B187" s="2" t="s">
        <v>28</v>
      </c>
      <c r="C187" s="2" t="s">
        <v>29</v>
      </c>
      <c r="D187" s="2" t="s">
        <v>30</v>
      </c>
      <c r="E187" s="2" t="s">
        <v>31</v>
      </c>
      <c r="F187" s="2" t="s">
        <v>618</v>
      </c>
      <c r="G187" s="2" t="s">
        <v>618</v>
      </c>
      <c r="H187" s="2" t="s">
        <v>54</v>
      </c>
      <c r="I187" s="2" t="s">
        <v>86</v>
      </c>
      <c r="J187" s="2" t="s">
        <v>308</v>
      </c>
      <c r="K187" s="2" t="s">
        <v>1032</v>
      </c>
      <c r="L187" s="2" t="s">
        <v>310</v>
      </c>
      <c r="M187" t="s">
        <v>551</v>
      </c>
      <c r="N187" t="s">
        <v>338</v>
      </c>
      <c r="O187" t="s">
        <v>551</v>
      </c>
      <c r="P187" t="s">
        <v>552</v>
      </c>
      <c r="Q187" s="2" t="s">
        <v>61</v>
      </c>
      <c r="R187" s="2" t="s">
        <v>914</v>
      </c>
      <c r="S187" s="2" t="s">
        <v>63</v>
      </c>
      <c r="T187" s="2" t="s">
        <v>63</v>
      </c>
      <c r="U187" s="2" t="s">
        <v>40</v>
      </c>
      <c r="V187" s="2" t="s">
        <v>41</v>
      </c>
      <c r="W187" s="2" t="s">
        <v>1035</v>
      </c>
      <c r="X187" s="2" t="s">
        <v>1036</v>
      </c>
      <c r="Y187" s="2" t="s">
        <v>44</v>
      </c>
      <c r="Z187" s="2" t="b">
        <v>1</v>
      </c>
      <c r="AA187" s="2"/>
      <c r="AB187" s="2" t="s">
        <v>45</v>
      </c>
      <c r="AC187" s="2"/>
    </row>
    <row r="188" spans="1:29" x14ac:dyDescent="0.35">
      <c r="A188" s="1" t="s">
        <v>27</v>
      </c>
      <c r="B188" s="1" t="s">
        <v>28</v>
      </c>
      <c r="C188" s="1" t="s">
        <v>29</v>
      </c>
      <c r="D188" s="1" t="s">
        <v>30</v>
      </c>
      <c r="E188" s="1" t="s">
        <v>31</v>
      </c>
      <c r="F188" s="1" t="s">
        <v>618</v>
      </c>
      <c r="G188" s="1" t="s">
        <v>618</v>
      </c>
      <c r="H188" s="1" t="s">
        <v>54</v>
      </c>
      <c r="I188" s="1" t="s">
        <v>86</v>
      </c>
      <c r="J188" s="1" t="s">
        <v>308</v>
      </c>
      <c r="K188" s="1" t="s">
        <v>1037</v>
      </c>
      <c r="L188" s="1" t="s">
        <v>310</v>
      </c>
      <c r="M188" t="s">
        <v>556</v>
      </c>
      <c r="N188" t="s">
        <v>338</v>
      </c>
      <c r="O188" t="s">
        <v>556</v>
      </c>
      <c r="P188" t="s">
        <v>557</v>
      </c>
      <c r="Q188" s="1" t="s">
        <v>61</v>
      </c>
      <c r="R188" s="1" t="s">
        <v>914</v>
      </c>
      <c r="S188" s="1" t="s">
        <v>63</v>
      </c>
      <c r="T188" s="1" t="s">
        <v>63</v>
      </c>
      <c r="U188" s="1" t="s">
        <v>40</v>
      </c>
      <c r="V188" s="1" t="s">
        <v>41</v>
      </c>
      <c r="W188" s="1" t="s">
        <v>1040</v>
      </c>
      <c r="X188" s="1" t="s">
        <v>1041</v>
      </c>
      <c r="Y188" s="1" t="s">
        <v>44</v>
      </c>
      <c r="Z188" s="1" t="b">
        <v>1</v>
      </c>
      <c r="AA188" s="1"/>
      <c r="AB188" s="1" t="s">
        <v>45</v>
      </c>
      <c r="AC188" s="1"/>
    </row>
    <row r="189" spans="1:29" x14ac:dyDescent="0.35">
      <c r="A189" s="2" t="s">
        <v>27</v>
      </c>
      <c r="B189" s="2" t="s">
        <v>28</v>
      </c>
      <c r="C189" s="2" t="s">
        <v>29</v>
      </c>
      <c r="D189" s="2" t="s">
        <v>30</v>
      </c>
      <c r="E189" s="2" t="s">
        <v>31</v>
      </c>
      <c r="F189" s="2" t="s">
        <v>618</v>
      </c>
      <c r="G189" s="2" t="s">
        <v>618</v>
      </c>
      <c r="H189" s="2" t="s">
        <v>54</v>
      </c>
      <c r="I189" s="2" t="s">
        <v>86</v>
      </c>
      <c r="J189" s="2" t="s">
        <v>308</v>
      </c>
      <c r="K189" s="2" t="s">
        <v>1042</v>
      </c>
      <c r="L189" s="2" t="s">
        <v>310</v>
      </c>
      <c r="M189" t="s">
        <v>561</v>
      </c>
      <c r="N189" t="s">
        <v>338</v>
      </c>
      <c r="O189" t="s">
        <v>561</v>
      </c>
      <c r="P189" t="s">
        <v>562</v>
      </c>
      <c r="Q189" s="2" t="s">
        <v>61</v>
      </c>
      <c r="R189" s="2" t="s">
        <v>914</v>
      </c>
      <c r="S189" s="2" t="s">
        <v>63</v>
      </c>
      <c r="T189" s="2" t="s">
        <v>63</v>
      </c>
      <c r="U189" s="2" t="s">
        <v>40</v>
      </c>
      <c r="V189" s="2" t="s">
        <v>41</v>
      </c>
      <c r="W189" s="2" t="s">
        <v>1045</v>
      </c>
      <c r="X189" s="2" t="s">
        <v>1046</v>
      </c>
      <c r="Y189" s="2" t="s">
        <v>44</v>
      </c>
      <c r="Z189" s="2" t="b">
        <v>1</v>
      </c>
      <c r="AA189" s="2"/>
      <c r="AB189" s="2" t="s">
        <v>45</v>
      </c>
      <c r="AC189" s="2"/>
    </row>
    <row r="190" spans="1:29" x14ac:dyDescent="0.35">
      <c r="A190" s="1" t="s">
        <v>27</v>
      </c>
      <c r="B190" s="1" t="s">
        <v>28</v>
      </c>
      <c r="C190" s="1" t="s">
        <v>29</v>
      </c>
      <c r="D190" s="1" t="s">
        <v>30</v>
      </c>
      <c r="E190" s="1" t="s">
        <v>31</v>
      </c>
      <c r="F190" s="1" t="s">
        <v>618</v>
      </c>
      <c r="G190" s="1" t="s">
        <v>618</v>
      </c>
      <c r="H190" s="1" t="s">
        <v>54</v>
      </c>
      <c r="I190" s="1" t="s">
        <v>86</v>
      </c>
      <c r="J190" s="1" t="s">
        <v>308</v>
      </c>
      <c r="K190" s="1" t="s">
        <v>1047</v>
      </c>
      <c r="L190" s="1" t="s">
        <v>310</v>
      </c>
      <c r="M190" t="s">
        <v>566</v>
      </c>
      <c r="N190" t="s">
        <v>338</v>
      </c>
      <c r="O190" t="s">
        <v>566</v>
      </c>
      <c r="P190" t="s">
        <v>567</v>
      </c>
      <c r="Q190" s="1" t="s">
        <v>61</v>
      </c>
      <c r="R190" s="1" t="s">
        <v>914</v>
      </c>
      <c r="S190" s="1" t="s">
        <v>63</v>
      </c>
      <c r="T190" s="1" t="s">
        <v>63</v>
      </c>
      <c r="U190" s="1" t="s">
        <v>40</v>
      </c>
      <c r="V190" s="1" t="s">
        <v>41</v>
      </c>
      <c r="W190" s="1" t="s">
        <v>1050</v>
      </c>
      <c r="X190" s="1" t="s">
        <v>1051</v>
      </c>
      <c r="Y190" s="1" t="s">
        <v>44</v>
      </c>
      <c r="Z190" s="1" t="b">
        <v>1</v>
      </c>
      <c r="AA190" s="1"/>
      <c r="AB190" s="1" t="s">
        <v>45</v>
      </c>
      <c r="AC190" s="1"/>
    </row>
    <row r="191" spans="1:29" x14ac:dyDescent="0.35">
      <c r="A191" s="2" t="s">
        <v>27</v>
      </c>
      <c r="B191" s="2" t="s">
        <v>28</v>
      </c>
      <c r="C191" s="2" t="s">
        <v>29</v>
      </c>
      <c r="D191" s="2" t="s">
        <v>30</v>
      </c>
      <c r="E191" s="2" t="s">
        <v>31</v>
      </c>
      <c r="F191" s="2" t="s">
        <v>618</v>
      </c>
      <c r="G191" s="2" t="s">
        <v>618</v>
      </c>
      <c r="H191" s="2" t="s">
        <v>54</v>
      </c>
      <c r="I191" s="2" t="s">
        <v>86</v>
      </c>
      <c r="J191" s="2" t="s">
        <v>308</v>
      </c>
      <c r="K191" s="2" t="s">
        <v>1052</v>
      </c>
      <c r="L191" s="2" t="s">
        <v>310</v>
      </c>
      <c r="M191" t="s">
        <v>571</v>
      </c>
      <c r="N191" t="s">
        <v>338</v>
      </c>
      <c r="O191" t="s">
        <v>571</v>
      </c>
      <c r="P191" t="s">
        <v>572</v>
      </c>
      <c r="Q191" s="2" t="s">
        <v>61</v>
      </c>
      <c r="R191" s="2" t="s">
        <v>914</v>
      </c>
      <c r="S191" s="2" t="s">
        <v>63</v>
      </c>
      <c r="T191" s="2" t="s">
        <v>63</v>
      </c>
      <c r="U191" s="2" t="s">
        <v>40</v>
      </c>
      <c r="V191" s="2" t="s">
        <v>41</v>
      </c>
      <c r="W191" s="2" t="s">
        <v>1055</v>
      </c>
      <c r="X191" s="2" t="s">
        <v>1056</v>
      </c>
      <c r="Y191" s="2" t="s">
        <v>44</v>
      </c>
      <c r="Z191" s="2" t="b">
        <v>1</v>
      </c>
      <c r="AA191" s="2"/>
      <c r="AB191" s="2" t="s">
        <v>45</v>
      </c>
      <c r="AC191" s="2"/>
    </row>
    <row r="192" spans="1:29" x14ac:dyDescent="0.35">
      <c r="A192" s="1" t="s">
        <v>27</v>
      </c>
      <c r="B192" s="1" t="s">
        <v>28</v>
      </c>
      <c r="C192" s="1" t="s">
        <v>29</v>
      </c>
      <c r="D192" s="1" t="s">
        <v>30</v>
      </c>
      <c r="E192" s="1" t="s">
        <v>31</v>
      </c>
      <c r="F192" s="1" t="s">
        <v>618</v>
      </c>
      <c r="G192" s="1" t="s">
        <v>618</v>
      </c>
      <c r="H192" s="1" t="s">
        <v>54</v>
      </c>
      <c r="I192" s="1" t="s">
        <v>86</v>
      </c>
      <c r="J192" s="1" t="s">
        <v>308</v>
      </c>
      <c r="K192" s="1" t="s">
        <v>1057</v>
      </c>
      <c r="L192" s="1" t="s">
        <v>310</v>
      </c>
      <c r="M192" t="s">
        <v>576</v>
      </c>
      <c r="N192" t="s">
        <v>338</v>
      </c>
      <c r="O192" t="s">
        <v>576</v>
      </c>
      <c r="P192" t="s">
        <v>577</v>
      </c>
      <c r="Q192" s="1" t="s">
        <v>61</v>
      </c>
      <c r="R192" s="1" t="s">
        <v>914</v>
      </c>
      <c r="S192" s="1" t="s">
        <v>63</v>
      </c>
      <c r="T192" s="1" t="s">
        <v>63</v>
      </c>
      <c r="U192" s="1" t="s">
        <v>40</v>
      </c>
      <c r="V192" s="1" t="s">
        <v>41</v>
      </c>
      <c r="W192" s="1" t="s">
        <v>1060</v>
      </c>
      <c r="X192" s="1" t="s">
        <v>1061</v>
      </c>
      <c r="Y192" s="1" t="s">
        <v>44</v>
      </c>
      <c r="Z192" s="1" t="b">
        <v>1</v>
      </c>
      <c r="AA192" s="1"/>
      <c r="AB192" s="1" t="s">
        <v>45</v>
      </c>
      <c r="AC192" s="1"/>
    </row>
    <row r="193" spans="1:29" x14ac:dyDescent="0.35">
      <c r="A193" s="2" t="s">
        <v>27</v>
      </c>
      <c r="B193" s="2" t="s">
        <v>28</v>
      </c>
      <c r="C193" s="2" t="s">
        <v>29</v>
      </c>
      <c r="D193" s="2" t="s">
        <v>30</v>
      </c>
      <c r="E193" s="2" t="s">
        <v>31</v>
      </c>
      <c r="F193" s="2" t="s">
        <v>618</v>
      </c>
      <c r="G193" s="2" t="s">
        <v>618</v>
      </c>
      <c r="H193" s="2" t="s">
        <v>54</v>
      </c>
      <c r="I193" s="2" t="s">
        <v>86</v>
      </c>
      <c r="J193" s="2" t="s">
        <v>308</v>
      </c>
      <c r="K193" s="2" t="s">
        <v>1062</v>
      </c>
      <c r="L193" s="2" t="s">
        <v>310</v>
      </c>
      <c r="M193" t="s">
        <v>581</v>
      </c>
      <c r="N193" t="s">
        <v>338</v>
      </c>
      <c r="O193" t="s">
        <v>581</v>
      </c>
      <c r="P193" t="s">
        <v>582</v>
      </c>
      <c r="Q193" s="2" t="s">
        <v>61</v>
      </c>
      <c r="R193" s="2" t="s">
        <v>914</v>
      </c>
      <c r="S193" s="2" t="s">
        <v>63</v>
      </c>
      <c r="T193" s="2" t="s">
        <v>63</v>
      </c>
      <c r="U193" s="2" t="s">
        <v>40</v>
      </c>
      <c r="V193" s="2" t="s">
        <v>41</v>
      </c>
      <c r="W193" s="2" t="s">
        <v>1065</v>
      </c>
      <c r="X193" s="2" t="s">
        <v>1066</v>
      </c>
      <c r="Y193" s="2" t="s">
        <v>44</v>
      </c>
      <c r="Z193" s="2" t="b">
        <v>1</v>
      </c>
      <c r="AA193" s="2"/>
      <c r="AB193" s="2" t="s">
        <v>45</v>
      </c>
      <c r="AC193" s="2"/>
    </row>
    <row r="194" spans="1:29" x14ac:dyDescent="0.35">
      <c r="A194" s="1" t="s">
        <v>27</v>
      </c>
      <c r="B194" s="1" t="s">
        <v>28</v>
      </c>
      <c r="C194" s="1" t="s">
        <v>29</v>
      </c>
      <c r="D194" s="1" t="s">
        <v>30</v>
      </c>
      <c r="E194" s="1" t="s">
        <v>31</v>
      </c>
      <c r="F194" s="1" t="s">
        <v>618</v>
      </c>
      <c r="G194" s="1" t="s">
        <v>618</v>
      </c>
      <c r="H194" s="1" t="s">
        <v>54</v>
      </c>
      <c r="I194" s="1" t="s">
        <v>86</v>
      </c>
      <c r="J194" s="1" t="s">
        <v>308</v>
      </c>
      <c r="K194" s="1" t="s">
        <v>1067</v>
      </c>
      <c r="L194" s="1" t="s">
        <v>310</v>
      </c>
      <c r="M194" t="s">
        <v>587</v>
      </c>
      <c r="N194" t="s">
        <v>338</v>
      </c>
      <c r="O194" t="s">
        <v>587</v>
      </c>
      <c r="P194" t="s">
        <v>588</v>
      </c>
      <c r="Q194" s="1" t="s">
        <v>61</v>
      </c>
      <c r="R194" s="1" t="s">
        <v>914</v>
      </c>
      <c r="S194" s="1" t="s">
        <v>63</v>
      </c>
      <c r="T194" s="1" t="s">
        <v>63</v>
      </c>
      <c r="U194" s="1" t="s">
        <v>40</v>
      </c>
      <c r="V194" s="1" t="s">
        <v>41</v>
      </c>
      <c r="W194" s="1" t="s">
        <v>1070</v>
      </c>
      <c r="X194" s="1" t="s">
        <v>1071</v>
      </c>
      <c r="Y194" s="1" t="s">
        <v>44</v>
      </c>
      <c r="Z194" s="1" t="b">
        <v>1</v>
      </c>
      <c r="AA194" s="1"/>
      <c r="AB194" s="1" t="s">
        <v>45</v>
      </c>
      <c r="AC194" s="1"/>
    </row>
    <row r="195" spans="1:29" x14ac:dyDescent="0.35">
      <c r="A195" s="2" t="s">
        <v>27</v>
      </c>
      <c r="B195" s="2" t="s">
        <v>28</v>
      </c>
      <c r="C195" s="2" t="s">
        <v>29</v>
      </c>
      <c r="D195" s="2" t="s">
        <v>30</v>
      </c>
      <c r="E195" s="2" t="s">
        <v>31</v>
      </c>
      <c r="F195" s="2" t="s">
        <v>618</v>
      </c>
      <c r="G195" s="2" t="s">
        <v>618</v>
      </c>
      <c r="H195" s="2" t="s">
        <v>54</v>
      </c>
      <c r="I195" s="2" t="s">
        <v>86</v>
      </c>
      <c r="J195" s="2" t="s">
        <v>308</v>
      </c>
      <c r="K195" s="2" t="s">
        <v>1072</v>
      </c>
      <c r="L195" s="2" t="s">
        <v>310</v>
      </c>
      <c r="M195" t="s">
        <v>592</v>
      </c>
      <c r="N195" t="s">
        <v>338</v>
      </c>
      <c r="O195" t="s">
        <v>592</v>
      </c>
      <c r="P195" t="s">
        <v>593</v>
      </c>
      <c r="Q195" s="2" t="s">
        <v>61</v>
      </c>
      <c r="R195" s="2" t="s">
        <v>914</v>
      </c>
      <c r="S195" s="2" t="s">
        <v>63</v>
      </c>
      <c r="T195" s="2" t="s">
        <v>63</v>
      </c>
      <c r="U195" s="2" t="s">
        <v>40</v>
      </c>
      <c r="V195" s="2" t="s">
        <v>41</v>
      </c>
      <c r="W195" s="2" t="s">
        <v>1075</v>
      </c>
      <c r="X195" s="2" t="s">
        <v>1076</v>
      </c>
      <c r="Y195" s="2" t="s">
        <v>44</v>
      </c>
      <c r="Z195" s="2" t="b">
        <v>1</v>
      </c>
      <c r="AA195" s="2"/>
      <c r="AB195" s="2" t="s">
        <v>45</v>
      </c>
      <c r="AC195" s="2"/>
    </row>
    <row r="196" spans="1:29" x14ac:dyDescent="0.35">
      <c r="A196" s="1" t="s">
        <v>27</v>
      </c>
      <c r="B196" s="1" t="s">
        <v>28</v>
      </c>
      <c r="C196" s="1" t="s">
        <v>29</v>
      </c>
      <c r="D196" s="1" t="s">
        <v>30</v>
      </c>
      <c r="E196" s="1" t="s">
        <v>31</v>
      </c>
      <c r="F196" s="1" t="s">
        <v>618</v>
      </c>
      <c r="G196" s="1" t="s">
        <v>618</v>
      </c>
      <c r="H196" s="1" t="s">
        <v>54</v>
      </c>
      <c r="I196" s="1" t="s">
        <v>86</v>
      </c>
      <c r="J196" s="1" t="s">
        <v>308</v>
      </c>
      <c r="K196" s="1" t="s">
        <v>1077</v>
      </c>
      <c r="L196" s="1" t="s">
        <v>310</v>
      </c>
      <c r="M196" t="s">
        <v>597</v>
      </c>
      <c r="N196" t="s">
        <v>338</v>
      </c>
      <c r="O196" t="s">
        <v>597</v>
      </c>
      <c r="P196" t="s">
        <v>598</v>
      </c>
      <c r="Q196" s="1" t="s">
        <v>61</v>
      </c>
      <c r="R196" s="1" t="s">
        <v>914</v>
      </c>
      <c r="S196" s="1" t="s">
        <v>63</v>
      </c>
      <c r="T196" s="1" t="s">
        <v>63</v>
      </c>
      <c r="U196" s="1" t="s">
        <v>40</v>
      </c>
      <c r="V196" s="1" t="s">
        <v>41</v>
      </c>
      <c r="W196" s="1" t="s">
        <v>1080</v>
      </c>
      <c r="X196" s="1" t="s">
        <v>1081</v>
      </c>
      <c r="Y196" s="1" t="s">
        <v>44</v>
      </c>
      <c r="Z196" s="1" t="b">
        <v>1</v>
      </c>
      <c r="AA196" s="1"/>
      <c r="AB196" s="1" t="s">
        <v>45</v>
      </c>
      <c r="AC196" s="1"/>
    </row>
    <row r="197" spans="1:29" x14ac:dyDescent="0.35">
      <c r="A197" s="2" t="s">
        <v>27</v>
      </c>
      <c r="B197" s="2" t="s">
        <v>28</v>
      </c>
      <c r="C197" s="2" t="s">
        <v>29</v>
      </c>
      <c r="D197" s="2" t="s">
        <v>30</v>
      </c>
      <c r="E197" s="2" t="s">
        <v>31</v>
      </c>
      <c r="F197" s="2" t="s">
        <v>618</v>
      </c>
      <c r="G197" s="2" t="s">
        <v>618</v>
      </c>
      <c r="H197" s="2" t="s">
        <v>54</v>
      </c>
      <c r="I197" s="2" t="s">
        <v>86</v>
      </c>
      <c r="J197" s="2" t="s">
        <v>308</v>
      </c>
      <c r="K197" s="2" t="s">
        <v>1082</v>
      </c>
      <c r="L197" s="2" t="s">
        <v>310</v>
      </c>
      <c r="M197" t="s">
        <v>603</v>
      </c>
      <c r="N197" t="s">
        <v>338</v>
      </c>
      <c r="O197" t="s">
        <v>603</v>
      </c>
      <c r="P197" t="s">
        <v>604</v>
      </c>
      <c r="Q197" s="2" t="s">
        <v>61</v>
      </c>
      <c r="R197" s="2" t="s">
        <v>914</v>
      </c>
      <c r="S197" s="2" t="s">
        <v>63</v>
      </c>
      <c r="T197" s="2" t="s">
        <v>63</v>
      </c>
      <c r="U197" s="2" t="s">
        <v>40</v>
      </c>
      <c r="V197" s="2" t="s">
        <v>41</v>
      </c>
      <c r="W197" s="2" t="s">
        <v>1085</v>
      </c>
      <c r="X197" s="2" t="s">
        <v>1086</v>
      </c>
      <c r="Y197" s="2" t="s">
        <v>44</v>
      </c>
      <c r="Z197" s="2" t="b">
        <v>1</v>
      </c>
      <c r="AA197" s="2"/>
      <c r="AB197" s="2" t="s">
        <v>45</v>
      </c>
      <c r="AC197" s="2"/>
    </row>
    <row r="198" spans="1:29" x14ac:dyDescent="0.35">
      <c r="A198" s="1" t="s">
        <v>27</v>
      </c>
      <c r="B198" s="1" t="s">
        <v>28</v>
      </c>
      <c r="C198" s="1" t="s">
        <v>29</v>
      </c>
      <c r="D198" s="1" t="s">
        <v>30</v>
      </c>
      <c r="E198" s="1" t="s">
        <v>31</v>
      </c>
      <c r="F198" s="1" t="s">
        <v>618</v>
      </c>
      <c r="G198" s="1" t="s">
        <v>618</v>
      </c>
      <c r="H198" s="1" t="s">
        <v>54</v>
      </c>
      <c r="I198" s="1" t="s">
        <v>86</v>
      </c>
      <c r="J198" s="1" t="s">
        <v>308</v>
      </c>
      <c r="K198" s="1" t="s">
        <v>1087</v>
      </c>
      <c r="L198" s="1" t="s">
        <v>310</v>
      </c>
      <c r="M198" t="s">
        <v>609</v>
      </c>
      <c r="N198" t="s">
        <v>338</v>
      </c>
      <c r="O198" t="s">
        <v>609</v>
      </c>
      <c r="P198" t="s">
        <v>610</v>
      </c>
      <c r="Q198" s="1" t="s">
        <v>61</v>
      </c>
      <c r="R198" s="1" t="s">
        <v>914</v>
      </c>
      <c r="S198" s="1" t="s">
        <v>63</v>
      </c>
      <c r="T198" s="1" t="s">
        <v>63</v>
      </c>
      <c r="U198" s="1" t="s">
        <v>40</v>
      </c>
      <c r="V198" s="1" t="s">
        <v>41</v>
      </c>
      <c r="W198" s="1" t="s">
        <v>1090</v>
      </c>
      <c r="X198" s="1" t="s">
        <v>1091</v>
      </c>
      <c r="Y198" s="1" t="s">
        <v>44</v>
      </c>
      <c r="Z198" s="1" t="b">
        <v>1</v>
      </c>
      <c r="AA198" s="1"/>
      <c r="AB198" s="1" t="s">
        <v>45</v>
      </c>
      <c r="AC198" s="1"/>
    </row>
    <row r="199" spans="1:29" x14ac:dyDescent="0.35">
      <c r="A199" s="2" t="s">
        <v>27</v>
      </c>
      <c r="B199" s="2" t="s">
        <v>28</v>
      </c>
      <c r="C199" s="2" t="s">
        <v>29</v>
      </c>
      <c r="D199" s="2" t="s">
        <v>30</v>
      </c>
      <c r="E199" s="2" t="s">
        <v>31</v>
      </c>
      <c r="F199" s="2" t="s">
        <v>618</v>
      </c>
      <c r="G199" s="2" t="s">
        <v>618</v>
      </c>
      <c r="H199" s="2" t="s">
        <v>54</v>
      </c>
      <c r="I199" s="2" t="s">
        <v>86</v>
      </c>
      <c r="J199" s="2" t="s">
        <v>308</v>
      </c>
      <c r="K199" s="2" t="s">
        <v>1092</v>
      </c>
      <c r="L199" s="2" t="s">
        <v>310</v>
      </c>
      <c r="M199" t="s">
        <v>614</v>
      </c>
      <c r="N199" t="s">
        <v>338</v>
      </c>
      <c r="O199" t="s">
        <v>614</v>
      </c>
      <c r="P199" t="s">
        <v>615</v>
      </c>
      <c r="Q199" s="2" t="s">
        <v>61</v>
      </c>
      <c r="R199" s="2" t="s">
        <v>914</v>
      </c>
      <c r="S199" s="2" t="s">
        <v>63</v>
      </c>
      <c r="T199" s="2" t="s">
        <v>63</v>
      </c>
      <c r="U199" s="2" t="s">
        <v>40</v>
      </c>
      <c r="V199" s="2" t="s">
        <v>41</v>
      </c>
      <c r="W199" s="2" t="s">
        <v>1095</v>
      </c>
      <c r="X199" s="2" t="s">
        <v>1096</v>
      </c>
      <c r="Y199" s="2" t="s">
        <v>44</v>
      </c>
      <c r="Z199" s="2" t="b">
        <v>1</v>
      </c>
      <c r="AA199" s="2"/>
      <c r="AB199" s="2" t="s">
        <v>45</v>
      </c>
      <c r="AC199" s="2"/>
    </row>
    <row r="200" spans="1:29" x14ac:dyDescent="0.35">
      <c r="A200" s="1" t="s">
        <v>27</v>
      </c>
      <c r="B200" s="1" t="s">
        <v>28</v>
      </c>
      <c r="C200" s="1" t="s">
        <v>29</v>
      </c>
      <c r="D200" s="1" t="s">
        <v>30</v>
      </c>
      <c r="E200" s="1" t="s">
        <v>31</v>
      </c>
      <c r="F200" s="1" t="s">
        <v>1097</v>
      </c>
      <c r="G200" s="1" t="s">
        <v>33</v>
      </c>
      <c r="H200" s="1" t="s">
        <v>33</v>
      </c>
      <c r="I200" s="1" t="s">
        <v>34</v>
      </c>
      <c r="J200" s="1" t="s">
        <v>35</v>
      </c>
      <c r="K200" s="1" t="s">
        <v>1098</v>
      </c>
      <c r="L200" s="1" t="s">
        <v>37</v>
      </c>
      <c r="M200" t="s">
        <v>2007</v>
      </c>
      <c r="N200" t="s">
        <v>2008</v>
      </c>
      <c r="O200" t="s">
        <v>2007</v>
      </c>
      <c r="P200" t="s">
        <v>2009</v>
      </c>
      <c r="Q200" s="1"/>
      <c r="R200" s="1"/>
      <c r="S200" s="1"/>
      <c r="T200" s="1"/>
      <c r="U200" s="1" t="s">
        <v>40</v>
      </c>
      <c r="V200" s="1" t="s">
        <v>41</v>
      </c>
      <c r="W200" s="1" t="s">
        <v>1101</v>
      </c>
      <c r="X200" s="1" t="s">
        <v>1102</v>
      </c>
      <c r="Y200" s="1" t="s">
        <v>44</v>
      </c>
      <c r="Z200" s="1"/>
      <c r="AA200" s="1"/>
      <c r="AB200" s="1" t="s">
        <v>45</v>
      </c>
      <c r="AC200" s="1"/>
    </row>
    <row r="201" spans="1:29" x14ac:dyDescent="0.35">
      <c r="A201" s="2" t="s">
        <v>27</v>
      </c>
      <c r="B201" s="2" t="s">
        <v>28</v>
      </c>
      <c r="C201" s="2" t="s">
        <v>29</v>
      </c>
      <c r="D201" s="2" t="s">
        <v>30</v>
      </c>
      <c r="E201" s="2" t="s">
        <v>31</v>
      </c>
      <c r="F201" s="2" t="s">
        <v>1103</v>
      </c>
      <c r="G201" s="2" t="s">
        <v>1103</v>
      </c>
      <c r="H201" s="2" t="s">
        <v>54</v>
      </c>
      <c r="I201" s="2" t="s">
        <v>55</v>
      </c>
      <c r="J201" s="2" t="s">
        <v>56</v>
      </c>
      <c r="K201" s="2" t="s">
        <v>1104</v>
      </c>
      <c r="L201" s="2" t="s">
        <v>1105</v>
      </c>
      <c r="M201" t="s">
        <v>2010</v>
      </c>
      <c r="N201" t="s">
        <v>2008</v>
      </c>
      <c r="O201" t="s">
        <v>2010</v>
      </c>
      <c r="P201" t="s">
        <v>2011</v>
      </c>
      <c r="Q201" s="2" t="s">
        <v>61</v>
      </c>
      <c r="R201" s="2" t="s">
        <v>531</v>
      </c>
      <c r="S201" s="2" t="s">
        <v>63</v>
      </c>
      <c r="T201" s="2" t="s">
        <v>63</v>
      </c>
      <c r="U201" s="2" t="s">
        <v>40</v>
      </c>
      <c r="V201" s="2" t="s">
        <v>41</v>
      </c>
      <c r="W201" s="2" t="s">
        <v>1108</v>
      </c>
      <c r="X201" s="2" t="s">
        <v>1109</v>
      </c>
      <c r="Y201" s="2" t="s">
        <v>44</v>
      </c>
      <c r="Z201" s="2" t="b">
        <v>1</v>
      </c>
      <c r="AA201" s="2"/>
      <c r="AB201" s="2" t="s">
        <v>45</v>
      </c>
      <c r="AC201" s="2"/>
    </row>
    <row r="202" spans="1:29" x14ac:dyDescent="0.35">
      <c r="A202" s="1" t="s">
        <v>27</v>
      </c>
      <c r="B202" s="1" t="s">
        <v>28</v>
      </c>
      <c r="C202" s="1" t="s">
        <v>29</v>
      </c>
      <c r="D202" s="1" t="s">
        <v>30</v>
      </c>
      <c r="E202" s="1" t="s">
        <v>31</v>
      </c>
      <c r="F202" s="1" t="s">
        <v>1103</v>
      </c>
      <c r="G202" s="1" t="s">
        <v>1103</v>
      </c>
      <c r="H202" s="1" t="s">
        <v>54</v>
      </c>
      <c r="I202" s="1" t="s">
        <v>55</v>
      </c>
      <c r="J202" s="1" t="s">
        <v>56</v>
      </c>
      <c r="K202" s="1" t="s">
        <v>1110</v>
      </c>
      <c r="L202" s="1" t="s">
        <v>1105</v>
      </c>
      <c r="M202" t="s">
        <v>2012</v>
      </c>
      <c r="N202" t="s">
        <v>2008</v>
      </c>
      <c r="O202" t="s">
        <v>2012</v>
      </c>
      <c r="P202" t="s">
        <v>2013</v>
      </c>
      <c r="Q202" s="1" t="s">
        <v>61</v>
      </c>
      <c r="R202" s="1" t="s">
        <v>531</v>
      </c>
      <c r="S202" s="1" t="s">
        <v>63</v>
      </c>
      <c r="T202" s="1" t="s">
        <v>63</v>
      </c>
      <c r="U202" s="1" t="s">
        <v>40</v>
      </c>
      <c r="V202" s="1" t="s">
        <v>41</v>
      </c>
      <c r="W202" s="1" t="s">
        <v>1113</v>
      </c>
      <c r="X202" s="1" t="s">
        <v>1114</v>
      </c>
      <c r="Y202" s="1" t="s">
        <v>44</v>
      </c>
      <c r="Z202" s="1" t="b">
        <v>1</v>
      </c>
      <c r="AA202" s="1"/>
      <c r="AB202" s="1" t="s">
        <v>45</v>
      </c>
      <c r="AC202" s="1"/>
    </row>
    <row r="203" spans="1:29" x14ac:dyDescent="0.35">
      <c r="A203" s="2" t="s">
        <v>27</v>
      </c>
      <c r="B203" s="2" t="s">
        <v>28</v>
      </c>
      <c r="C203" s="2" t="s">
        <v>29</v>
      </c>
      <c r="D203" s="2" t="s">
        <v>30</v>
      </c>
      <c r="E203" s="2" t="s">
        <v>31</v>
      </c>
      <c r="F203" s="2" t="s">
        <v>1103</v>
      </c>
      <c r="G203" s="2" t="s">
        <v>1103</v>
      </c>
      <c r="H203" s="2" t="s">
        <v>54</v>
      </c>
      <c r="I203" s="2" t="s">
        <v>55</v>
      </c>
      <c r="J203" s="2" t="s">
        <v>56</v>
      </c>
      <c r="K203" s="2" t="s">
        <v>1115</v>
      </c>
      <c r="L203" s="2" t="s">
        <v>1105</v>
      </c>
      <c r="M203" t="s">
        <v>620</v>
      </c>
      <c r="N203" t="s">
        <v>618</v>
      </c>
      <c r="O203" t="s">
        <v>620</v>
      </c>
      <c r="P203" t="s">
        <v>621</v>
      </c>
      <c r="Q203" s="2" t="s">
        <v>61</v>
      </c>
      <c r="R203" s="2" t="s">
        <v>531</v>
      </c>
      <c r="S203" s="2" t="s">
        <v>63</v>
      </c>
      <c r="T203" s="2" t="s">
        <v>63</v>
      </c>
      <c r="U203" s="2" t="s">
        <v>40</v>
      </c>
      <c r="V203" s="2" t="s">
        <v>41</v>
      </c>
      <c r="W203" s="2" t="s">
        <v>1118</v>
      </c>
      <c r="X203" s="2" t="s">
        <v>1119</v>
      </c>
      <c r="Y203" s="2" t="s">
        <v>44</v>
      </c>
      <c r="Z203" s="2" t="b">
        <v>1</v>
      </c>
      <c r="AA203" s="2"/>
      <c r="AB203" s="2" t="s">
        <v>45</v>
      </c>
      <c r="AC203" s="2"/>
    </row>
    <row r="204" spans="1:29" x14ac:dyDescent="0.35">
      <c r="A204" s="1" t="s">
        <v>27</v>
      </c>
      <c r="B204" s="1" t="s">
        <v>28</v>
      </c>
      <c r="C204" s="1" t="s">
        <v>29</v>
      </c>
      <c r="D204" s="1" t="s">
        <v>30</v>
      </c>
      <c r="E204" s="1" t="s">
        <v>31</v>
      </c>
      <c r="F204" s="1" t="s">
        <v>1103</v>
      </c>
      <c r="G204" s="1" t="s">
        <v>1103</v>
      </c>
      <c r="H204" s="1" t="s">
        <v>54</v>
      </c>
      <c r="I204" s="1" t="s">
        <v>55</v>
      </c>
      <c r="J204" s="1" t="s">
        <v>56</v>
      </c>
      <c r="K204" s="1" t="s">
        <v>1120</v>
      </c>
      <c r="L204" s="1" t="s">
        <v>1105</v>
      </c>
      <c r="M204" t="s">
        <v>626</v>
      </c>
      <c r="N204" t="s">
        <v>618</v>
      </c>
      <c r="O204" t="s">
        <v>626</v>
      </c>
      <c r="P204" t="s">
        <v>627</v>
      </c>
      <c r="Q204" s="1" t="s">
        <v>61</v>
      </c>
      <c r="R204" s="1" t="s">
        <v>531</v>
      </c>
      <c r="S204" s="1" t="s">
        <v>63</v>
      </c>
      <c r="T204" s="1" t="s">
        <v>63</v>
      </c>
      <c r="U204" s="1" t="s">
        <v>40</v>
      </c>
      <c r="V204" s="1" t="s">
        <v>41</v>
      </c>
      <c r="W204" s="1" t="s">
        <v>1123</v>
      </c>
      <c r="X204" s="1" t="s">
        <v>1124</v>
      </c>
      <c r="Y204" s="1" t="s">
        <v>44</v>
      </c>
      <c r="Z204" s="1" t="b">
        <v>1</v>
      </c>
      <c r="AA204" s="1"/>
      <c r="AB204" s="1" t="s">
        <v>45</v>
      </c>
      <c r="AC204" s="1"/>
    </row>
    <row r="205" spans="1:29" x14ac:dyDescent="0.35">
      <c r="A205" s="2" t="s">
        <v>27</v>
      </c>
      <c r="B205" s="2" t="s">
        <v>28</v>
      </c>
      <c r="C205" s="2" t="s">
        <v>29</v>
      </c>
      <c r="D205" s="2" t="s">
        <v>30</v>
      </c>
      <c r="E205" s="2" t="s">
        <v>31</v>
      </c>
      <c r="F205" s="2" t="s">
        <v>1103</v>
      </c>
      <c r="G205" s="2" t="s">
        <v>1103</v>
      </c>
      <c r="H205" s="2" t="s">
        <v>54</v>
      </c>
      <c r="I205" s="2" t="s">
        <v>55</v>
      </c>
      <c r="J205" s="2" t="s">
        <v>56</v>
      </c>
      <c r="K205" s="2" t="s">
        <v>1125</v>
      </c>
      <c r="L205" s="2" t="s">
        <v>1105</v>
      </c>
      <c r="M205" t="s">
        <v>631</v>
      </c>
      <c r="N205" t="s">
        <v>618</v>
      </c>
      <c r="O205" t="s">
        <v>631</v>
      </c>
      <c r="P205" t="s">
        <v>632</v>
      </c>
      <c r="Q205" s="2" t="s">
        <v>61</v>
      </c>
      <c r="R205" s="2" t="s">
        <v>531</v>
      </c>
      <c r="S205" s="2" t="s">
        <v>63</v>
      </c>
      <c r="T205" s="2" t="s">
        <v>63</v>
      </c>
      <c r="U205" s="2" t="s">
        <v>40</v>
      </c>
      <c r="V205" s="2" t="s">
        <v>41</v>
      </c>
      <c r="W205" s="2" t="s">
        <v>1128</v>
      </c>
      <c r="X205" s="2" t="s">
        <v>1129</v>
      </c>
      <c r="Y205" s="2" t="s">
        <v>44</v>
      </c>
      <c r="Z205" s="2" t="b">
        <v>1</v>
      </c>
      <c r="AA205" s="2"/>
      <c r="AB205" s="2" t="s">
        <v>45</v>
      </c>
      <c r="AC205" s="2"/>
    </row>
    <row r="206" spans="1:29" x14ac:dyDescent="0.35">
      <c r="A206" s="1" t="s">
        <v>27</v>
      </c>
      <c r="B206" s="1" t="s">
        <v>28</v>
      </c>
      <c r="C206" s="1" t="s">
        <v>29</v>
      </c>
      <c r="D206" s="1" t="s">
        <v>30</v>
      </c>
      <c r="E206" s="1" t="s">
        <v>31</v>
      </c>
      <c r="F206" s="1" t="s">
        <v>1103</v>
      </c>
      <c r="G206" s="1" t="s">
        <v>1103</v>
      </c>
      <c r="H206" s="1" t="s">
        <v>54</v>
      </c>
      <c r="I206" s="1" t="s">
        <v>55</v>
      </c>
      <c r="J206" s="1" t="s">
        <v>56</v>
      </c>
      <c r="K206" s="1" t="s">
        <v>1130</v>
      </c>
      <c r="L206" s="1" t="s">
        <v>1105</v>
      </c>
      <c r="M206" t="s">
        <v>637</v>
      </c>
      <c r="N206" t="s">
        <v>618</v>
      </c>
      <c r="O206" t="s">
        <v>637</v>
      </c>
      <c r="P206" t="s">
        <v>638</v>
      </c>
      <c r="Q206" s="1" t="s">
        <v>61</v>
      </c>
      <c r="R206" s="1" t="s">
        <v>531</v>
      </c>
      <c r="S206" s="1" t="s">
        <v>63</v>
      </c>
      <c r="T206" s="1" t="s">
        <v>63</v>
      </c>
      <c r="U206" s="1" t="s">
        <v>40</v>
      </c>
      <c r="V206" s="1" t="s">
        <v>41</v>
      </c>
      <c r="W206" s="1" t="s">
        <v>1133</v>
      </c>
      <c r="X206" s="1" t="s">
        <v>1134</v>
      </c>
      <c r="Y206" s="1" t="s">
        <v>44</v>
      </c>
      <c r="Z206" s="1" t="b">
        <v>1</v>
      </c>
      <c r="AA206" s="1"/>
      <c r="AB206" s="1" t="s">
        <v>45</v>
      </c>
      <c r="AC206" s="1"/>
    </row>
    <row r="207" spans="1:29" x14ac:dyDescent="0.35">
      <c r="A207" s="2" t="s">
        <v>27</v>
      </c>
      <c r="B207" s="2" t="s">
        <v>28</v>
      </c>
      <c r="C207" s="2" t="s">
        <v>29</v>
      </c>
      <c r="D207" s="2" t="s">
        <v>30</v>
      </c>
      <c r="E207" s="2" t="s">
        <v>31</v>
      </c>
      <c r="F207" s="2" t="s">
        <v>1103</v>
      </c>
      <c r="G207" s="2" t="s">
        <v>1103</v>
      </c>
      <c r="H207" s="2" t="s">
        <v>54</v>
      </c>
      <c r="I207" s="2" t="s">
        <v>55</v>
      </c>
      <c r="J207" s="2" t="s">
        <v>56</v>
      </c>
      <c r="K207" s="2" t="s">
        <v>1135</v>
      </c>
      <c r="L207" s="2" t="s">
        <v>1105</v>
      </c>
      <c r="M207" t="s">
        <v>643</v>
      </c>
      <c r="N207" t="s">
        <v>618</v>
      </c>
      <c r="O207" t="s">
        <v>643</v>
      </c>
      <c r="P207" t="s">
        <v>644</v>
      </c>
      <c r="Q207" s="2" t="s">
        <v>61</v>
      </c>
      <c r="R207" s="2" t="s">
        <v>531</v>
      </c>
      <c r="S207" s="2" t="s">
        <v>63</v>
      </c>
      <c r="T207" s="2" t="s">
        <v>63</v>
      </c>
      <c r="U207" s="2" t="s">
        <v>40</v>
      </c>
      <c r="V207" s="2" t="s">
        <v>41</v>
      </c>
      <c r="W207" s="2" t="s">
        <v>1138</v>
      </c>
      <c r="X207" s="2" t="s">
        <v>1139</v>
      </c>
      <c r="Y207" s="2" t="s">
        <v>44</v>
      </c>
      <c r="Z207" s="2" t="b">
        <v>1</v>
      </c>
      <c r="AA207" s="2"/>
      <c r="AB207" s="2" t="s">
        <v>45</v>
      </c>
      <c r="AC207" s="2"/>
    </row>
    <row r="208" spans="1:29" x14ac:dyDescent="0.35">
      <c r="A208" s="1" t="s">
        <v>27</v>
      </c>
      <c r="B208" s="1" t="s">
        <v>28</v>
      </c>
      <c r="C208" s="1" t="s">
        <v>29</v>
      </c>
      <c r="D208" s="1" t="s">
        <v>30</v>
      </c>
      <c r="E208" s="1" t="s">
        <v>31</v>
      </c>
      <c r="F208" s="1" t="s">
        <v>1103</v>
      </c>
      <c r="G208" s="1" t="s">
        <v>1103</v>
      </c>
      <c r="H208" s="1" t="s">
        <v>54</v>
      </c>
      <c r="I208" s="1" t="s">
        <v>55</v>
      </c>
      <c r="J208" s="1" t="s">
        <v>56</v>
      </c>
      <c r="K208" s="1" t="s">
        <v>1140</v>
      </c>
      <c r="L208" s="1" t="s">
        <v>1105</v>
      </c>
      <c r="M208" t="s">
        <v>648</v>
      </c>
      <c r="N208" t="s">
        <v>618</v>
      </c>
      <c r="O208" t="s">
        <v>648</v>
      </c>
      <c r="P208" t="s">
        <v>649</v>
      </c>
      <c r="Q208" s="1" t="s">
        <v>61</v>
      </c>
      <c r="R208" s="1" t="s">
        <v>531</v>
      </c>
      <c r="S208" s="1" t="s">
        <v>63</v>
      </c>
      <c r="T208" s="1" t="s">
        <v>63</v>
      </c>
      <c r="U208" s="1" t="s">
        <v>40</v>
      </c>
      <c r="V208" s="1" t="s">
        <v>41</v>
      </c>
      <c r="W208" s="1" t="s">
        <v>1143</v>
      </c>
      <c r="X208" s="1" t="s">
        <v>1144</v>
      </c>
      <c r="Y208" s="1" t="s">
        <v>44</v>
      </c>
      <c r="Z208" s="1" t="b">
        <v>1</v>
      </c>
      <c r="AA208" s="1"/>
      <c r="AB208" s="1" t="s">
        <v>45</v>
      </c>
      <c r="AC208" s="1"/>
    </row>
    <row r="209" spans="1:29" x14ac:dyDescent="0.35">
      <c r="A209" s="2" t="s">
        <v>27</v>
      </c>
      <c r="B209" s="2" t="s">
        <v>28</v>
      </c>
      <c r="C209" s="2" t="s">
        <v>29</v>
      </c>
      <c r="D209" s="2" t="s">
        <v>30</v>
      </c>
      <c r="E209" s="2" t="s">
        <v>31</v>
      </c>
      <c r="F209" s="2" t="s">
        <v>1103</v>
      </c>
      <c r="G209" s="2" t="s">
        <v>1103</v>
      </c>
      <c r="H209" s="2" t="s">
        <v>54</v>
      </c>
      <c r="I209" s="2" t="s">
        <v>55</v>
      </c>
      <c r="J209" s="2" t="s">
        <v>56</v>
      </c>
      <c r="K209" s="2" t="s">
        <v>1145</v>
      </c>
      <c r="L209" s="2" t="s">
        <v>1105</v>
      </c>
      <c r="M209" t="s">
        <v>654</v>
      </c>
      <c r="N209" t="s">
        <v>618</v>
      </c>
      <c r="O209" t="s">
        <v>654</v>
      </c>
      <c r="P209" t="s">
        <v>655</v>
      </c>
      <c r="Q209" s="2" t="s">
        <v>61</v>
      </c>
      <c r="R209" s="2" t="s">
        <v>531</v>
      </c>
      <c r="S209" s="2" t="s">
        <v>63</v>
      </c>
      <c r="T209" s="2" t="s">
        <v>63</v>
      </c>
      <c r="U209" s="2" t="s">
        <v>40</v>
      </c>
      <c r="V209" s="2" t="s">
        <v>41</v>
      </c>
      <c r="W209" s="2" t="s">
        <v>1148</v>
      </c>
      <c r="X209" s="2" t="s">
        <v>1149</v>
      </c>
      <c r="Y209" s="2" t="s">
        <v>44</v>
      </c>
      <c r="Z209" s="2" t="b">
        <v>1</v>
      </c>
      <c r="AA209" s="2"/>
      <c r="AB209" s="2" t="s">
        <v>45</v>
      </c>
      <c r="AC209" s="2"/>
    </row>
    <row r="210" spans="1:29" x14ac:dyDescent="0.35">
      <c r="A210" s="1" t="s">
        <v>27</v>
      </c>
      <c r="B210" s="1" t="s">
        <v>28</v>
      </c>
      <c r="C210" s="1" t="s">
        <v>29</v>
      </c>
      <c r="D210" s="1" t="s">
        <v>30</v>
      </c>
      <c r="E210" s="1" t="s">
        <v>31</v>
      </c>
      <c r="F210" s="1" t="s">
        <v>1103</v>
      </c>
      <c r="G210" s="1" t="s">
        <v>1103</v>
      </c>
      <c r="H210" s="1" t="s">
        <v>54</v>
      </c>
      <c r="I210" s="1" t="s">
        <v>55</v>
      </c>
      <c r="J210" s="1" t="s">
        <v>56</v>
      </c>
      <c r="K210" s="1" t="s">
        <v>1150</v>
      </c>
      <c r="L210" s="1" t="s">
        <v>1105</v>
      </c>
      <c r="M210" t="s">
        <v>660</v>
      </c>
      <c r="N210" t="s">
        <v>618</v>
      </c>
      <c r="O210" t="s">
        <v>660</v>
      </c>
      <c r="P210" t="s">
        <v>661</v>
      </c>
      <c r="Q210" s="1" t="s">
        <v>61</v>
      </c>
      <c r="R210" s="1" t="s">
        <v>531</v>
      </c>
      <c r="S210" s="1" t="s">
        <v>63</v>
      </c>
      <c r="T210" s="1" t="s">
        <v>63</v>
      </c>
      <c r="U210" s="1" t="s">
        <v>40</v>
      </c>
      <c r="V210" s="1" t="s">
        <v>41</v>
      </c>
      <c r="W210" s="1" t="s">
        <v>1153</v>
      </c>
      <c r="X210" s="1" t="s">
        <v>1154</v>
      </c>
      <c r="Y210" s="1" t="s">
        <v>44</v>
      </c>
      <c r="Z210" s="1" t="b">
        <v>1</v>
      </c>
      <c r="AA210" s="1"/>
      <c r="AB210" s="1" t="s">
        <v>45</v>
      </c>
      <c r="AC210" s="1"/>
    </row>
    <row r="211" spans="1:29" x14ac:dyDescent="0.35">
      <c r="A211" s="2" t="s">
        <v>27</v>
      </c>
      <c r="B211" s="2" t="s">
        <v>28</v>
      </c>
      <c r="C211" s="2" t="s">
        <v>29</v>
      </c>
      <c r="D211" s="2" t="s">
        <v>30</v>
      </c>
      <c r="E211" s="2" t="s">
        <v>31</v>
      </c>
      <c r="F211" s="2" t="s">
        <v>1103</v>
      </c>
      <c r="G211" s="2" t="s">
        <v>1103</v>
      </c>
      <c r="H211" s="2" t="s">
        <v>54</v>
      </c>
      <c r="I211" s="2" t="s">
        <v>55</v>
      </c>
      <c r="J211" s="2" t="s">
        <v>56</v>
      </c>
      <c r="K211" s="2" t="s">
        <v>1155</v>
      </c>
      <c r="L211" s="2" t="s">
        <v>1105</v>
      </c>
      <c r="M211" t="s">
        <v>665</v>
      </c>
      <c r="N211" t="s">
        <v>618</v>
      </c>
      <c r="O211" t="s">
        <v>665</v>
      </c>
      <c r="P211" t="s">
        <v>666</v>
      </c>
      <c r="Q211" s="2" t="s">
        <v>61</v>
      </c>
      <c r="R211" s="2" t="s">
        <v>531</v>
      </c>
      <c r="S211" s="2" t="s">
        <v>63</v>
      </c>
      <c r="T211" s="2" t="s">
        <v>63</v>
      </c>
      <c r="U211" s="2" t="s">
        <v>40</v>
      </c>
      <c r="V211" s="2" t="s">
        <v>41</v>
      </c>
      <c r="W211" s="2" t="s">
        <v>1158</v>
      </c>
      <c r="X211" s="2" t="s">
        <v>1159</v>
      </c>
      <c r="Y211" s="2" t="s">
        <v>44</v>
      </c>
      <c r="Z211" s="2" t="b">
        <v>1</v>
      </c>
      <c r="AA211" s="2"/>
      <c r="AB211" s="2" t="s">
        <v>45</v>
      </c>
      <c r="AC211" s="2"/>
    </row>
    <row r="212" spans="1:29" x14ac:dyDescent="0.35">
      <c r="A212" s="1" t="s">
        <v>27</v>
      </c>
      <c r="B212" s="1" t="s">
        <v>28</v>
      </c>
      <c r="C212" s="1" t="s">
        <v>29</v>
      </c>
      <c r="D212" s="1" t="s">
        <v>30</v>
      </c>
      <c r="E212" s="1" t="s">
        <v>31</v>
      </c>
      <c r="F212" s="1" t="s">
        <v>1103</v>
      </c>
      <c r="G212" s="1" t="s">
        <v>1103</v>
      </c>
      <c r="H212" s="1" t="s">
        <v>54</v>
      </c>
      <c r="I212" s="1" t="s">
        <v>55</v>
      </c>
      <c r="J212" s="1" t="s">
        <v>56</v>
      </c>
      <c r="K212" s="1" t="s">
        <v>1160</v>
      </c>
      <c r="L212" s="1" t="s">
        <v>1105</v>
      </c>
      <c r="M212" t="s">
        <v>671</v>
      </c>
      <c r="N212" t="s">
        <v>618</v>
      </c>
      <c r="O212" t="s">
        <v>671</v>
      </c>
      <c r="P212" t="s">
        <v>672</v>
      </c>
      <c r="Q212" s="1" t="s">
        <v>61</v>
      </c>
      <c r="R212" s="1" t="s">
        <v>531</v>
      </c>
      <c r="S212" s="1" t="s">
        <v>63</v>
      </c>
      <c r="T212" s="1" t="s">
        <v>63</v>
      </c>
      <c r="U212" s="1" t="s">
        <v>40</v>
      </c>
      <c r="V212" s="1" t="s">
        <v>41</v>
      </c>
      <c r="W212" s="1" t="s">
        <v>1163</v>
      </c>
      <c r="X212" s="1" t="s">
        <v>1164</v>
      </c>
      <c r="Y212" s="1" t="s">
        <v>44</v>
      </c>
      <c r="Z212" s="1" t="b">
        <v>1</v>
      </c>
      <c r="AA212" s="1"/>
      <c r="AB212" s="1" t="s">
        <v>45</v>
      </c>
      <c r="AC212" s="1"/>
    </row>
    <row r="213" spans="1:29" x14ac:dyDescent="0.35">
      <c r="A213" s="2" t="s">
        <v>27</v>
      </c>
      <c r="B213" s="2" t="s">
        <v>28</v>
      </c>
      <c r="C213" s="2" t="s">
        <v>29</v>
      </c>
      <c r="D213" s="2" t="s">
        <v>30</v>
      </c>
      <c r="E213" s="2" t="s">
        <v>31</v>
      </c>
      <c r="F213" s="2" t="s">
        <v>1103</v>
      </c>
      <c r="G213" s="2" t="s">
        <v>1103</v>
      </c>
      <c r="H213" s="2" t="s">
        <v>54</v>
      </c>
      <c r="I213" s="2" t="s">
        <v>55</v>
      </c>
      <c r="J213" s="2" t="s">
        <v>56</v>
      </c>
      <c r="K213" s="2" t="s">
        <v>1165</v>
      </c>
      <c r="L213" s="2" t="s">
        <v>1105</v>
      </c>
      <c r="M213" t="s">
        <v>677</v>
      </c>
      <c r="N213" t="s">
        <v>618</v>
      </c>
      <c r="O213" t="s">
        <v>677</v>
      </c>
      <c r="P213" t="s">
        <v>678</v>
      </c>
      <c r="Q213" s="2" t="s">
        <v>61</v>
      </c>
      <c r="R213" s="2" t="s">
        <v>531</v>
      </c>
      <c r="S213" s="2" t="s">
        <v>63</v>
      </c>
      <c r="T213" s="2" t="s">
        <v>63</v>
      </c>
      <c r="U213" s="2" t="s">
        <v>40</v>
      </c>
      <c r="V213" s="2" t="s">
        <v>41</v>
      </c>
      <c r="W213" s="2" t="s">
        <v>1168</v>
      </c>
      <c r="X213" s="2" t="s">
        <v>1169</v>
      </c>
      <c r="Y213" s="2" t="s">
        <v>44</v>
      </c>
      <c r="Z213" s="2" t="b">
        <v>1</v>
      </c>
      <c r="AA213" s="2"/>
      <c r="AB213" s="2" t="s">
        <v>45</v>
      </c>
      <c r="AC213" s="2"/>
    </row>
    <row r="214" spans="1:29" x14ac:dyDescent="0.35">
      <c r="A214" s="1" t="s">
        <v>27</v>
      </c>
      <c r="B214" s="1" t="s">
        <v>28</v>
      </c>
      <c r="C214" s="1" t="s">
        <v>29</v>
      </c>
      <c r="D214" s="1" t="s">
        <v>30</v>
      </c>
      <c r="E214" s="1" t="s">
        <v>31</v>
      </c>
      <c r="F214" s="1" t="s">
        <v>1103</v>
      </c>
      <c r="G214" s="1" t="s">
        <v>1103</v>
      </c>
      <c r="H214" s="1" t="s">
        <v>54</v>
      </c>
      <c r="I214" s="1" t="s">
        <v>86</v>
      </c>
      <c r="J214" s="1" t="s">
        <v>56</v>
      </c>
      <c r="K214" s="1" t="s">
        <v>1170</v>
      </c>
      <c r="L214" s="1" t="s">
        <v>1105</v>
      </c>
      <c r="M214" t="s">
        <v>683</v>
      </c>
      <c r="N214" t="s">
        <v>618</v>
      </c>
      <c r="O214" t="s">
        <v>683</v>
      </c>
      <c r="P214" t="s">
        <v>684</v>
      </c>
      <c r="Q214" s="1" t="s">
        <v>61</v>
      </c>
      <c r="R214" s="1" t="s">
        <v>1173</v>
      </c>
      <c r="S214" s="1" t="s">
        <v>63</v>
      </c>
      <c r="T214" s="1" t="s">
        <v>63</v>
      </c>
      <c r="U214" s="1" t="s">
        <v>40</v>
      </c>
      <c r="V214" s="1" t="s">
        <v>41</v>
      </c>
      <c r="W214" s="1" t="s">
        <v>1174</v>
      </c>
      <c r="X214" s="1" t="s">
        <v>1175</v>
      </c>
      <c r="Y214" s="1" t="s">
        <v>44</v>
      </c>
      <c r="Z214" s="1" t="b">
        <v>1</v>
      </c>
      <c r="AA214" s="1"/>
      <c r="AB214" s="1" t="s">
        <v>45</v>
      </c>
      <c r="AC214" s="1"/>
    </row>
    <row r="215" spans="1:29" x14ac:dyDescent="0.35">
      <c r="A215" s="2" t="s">
        <v>27</v>
      </c>
      <c r="B215" s="2" t="s">
        <v>28</v>
      </c>
      <c r="C215" s="2" t="s">
        <v>29</v>
      </c>
      <c r="D215" s="2" t="s">
        <v>30</v>
      </c>
      <c r="E215" s="2" t="s">
        <v>31</v>
      </c>
      <c r="F215" s="2" t="s">
        <v>1103</v>
      </c>
      <c r="G215" s="2" t="s">
        <v>1103</v>
      </c>
      <c r="H215" s="2" t="s">
        <v>54</v>
      </c>
      <c r="I215" s="2" t="s">
        <v>86</v>
      </c>
      <c r="J215" s="2" t="s">
        <v>56</v>
      </c>
      <c r="K215" s="2" t="s">
        <v>1176</v>
      </c>
      <c r="L215" s="2" t="s">
        <v>1105</v>
      </c>
      <c r="M215" t="s">
        <v>688</v>
      </c>
      <c r="N215" t="s">
        <v>618</v>
      </c>
      <c r="O215" t="s">
        <v>688</v>
      </c>
      <c r="P215" t="s">
        <v>689</v>
      </c>
      <c r="Q215" s="2" t="s">
        <v>61</v>
      </c>
      <c r="R215" s="2" t="s">
        <v>1173</v>
      </c>
      <c r="S215" s="2" t="s">
        <v>63</v>
      </c>
      <c r="T215" s="2" t="s">
        <v>63</v>
      </c>
      <c r="U215" s="2" t="s">
        <v>40</v>
      </c>
      <c r="V215" s="2" t="s">
        <v>41</v>
      </c>
      <c r="W215" s="2" t="s">
        <v>1179</v>
      </c>
      <c r="X215" s="2" t="s">
        <v>1180</v>
      </c>
      <c r="Y215" s="2" t="s">
        <v>44</v>
      </c>
      <c r="Z215" s="2" t="b">
        <v>1</v>
      </c>
      <c r="AA215" s="2"/>
      <c r="AB215" s="2" t="s">
        <v>45</v>
      </c>
      <c r="AC215" s="2"/>
    </row>
    <row r="216" spans="1:29" x14ac:dyDescent="0.35">
      <c r="A216" s="1" t="s">
        <v>27</v>
      </c>
      <c r="B216" s="1" t="s">
        <v>28</v>
      </c>
      <c r="C216" s="1" t="s">
        <v>29</v>
      </c>
      <c r="D216" s="1" t="s">
        <v>30</v>
      </c>
      <c r="E216" s="1" t="s">
        <v>31</v>
      </c>
      <c r="F216" s="1" t="s">
        <v>1103</v>
      </c>
      <c r="G216" s="1" t="s">
        <v>1103</v>
      </c>
      <c r="H216" s="1" t="s">
        <v>54</v>
      </c>
      <c r="I216" s="1" t="s">
        <v>86</v>
      </c>
      <c r="J216" s="1" t="s">
        <v>56</v>
      </c>
      <c r="K216" s="1" t="s">
        <v>1181</v>
      </c>
      <c r="L216" s="1" t="s">
        <v>1105</v>
      </c>
      <c r="M216" t="s">
        <v>694</v>
      </c>
      <c r="N216" t="s">
        <v>618</v>
      </c>
      <c r="O216" t="s">
        <v>694</v>
      </c>
      <c r="P216" t="s">
        <v>695</v>
      </c>
      <c r="Q216" s="1" t="s">
        <v>61</v>
      </c>
      <c r="R216" s="1" t="s">
        <v>1173</v>
      </c>
      <c r="S216" s="1" t="s">
        <v>63</v>
      </c>
      <c r="T216" s="1" t="s">
        <v>63</v>
      </c>
      <c r="U216" s="1" t="s">
        <v>40</v>
      </c>
      <c r="V216" s="1" t="s">
        <v>41</v>
      </c>
      <c r="W216" s="1" t="s">
        <v>1184</v>
      </c>
      <c r="X216" s="1" t="s">
        <v>1185</v>
      </c>
      <c r="Y216" s="1" t="s">
        <v>44</v>
      </c>
      <c r="Z216" s="1" t="b">
        <v>1</v>
      </c>
      <c r="AA216" s="1"/>
      <c r="AB216" s="1" t="s">
        <v>45</v>
      </c>
      <c r="AC216" s="1"/>
    </row>
    <row r="217" spans="1:29" x14ac:dyDescent="0.35">
      <c r="A217" s="2" t="s">
        <v>27</v>
      </c>
      <c r="B217" s="2" t="s">
        <v>28</v>
      </c>
      <c r="C217" s="2" t="s">
        <v>29</v>
      </c>
      <c r="D217" s="2" t="s">
        <v>30</v>
      </c>
      <c r="E217" s="2" t="s">
        <v>31</v>
      </c>
      <c r="F217" s="2" t="s">
        <v>1103</v>
      </c>
      <c r="G217" s="2" t="s">
        <v>1103</v>
      </c>
      <c r="H217" s="2" t="s">
        <v>54</v>
      </c>
      <c r="I217" s="2" t="s">
        <v>86</v>
      </c>
      <c r="J217" s="2" t="s">
        <v>56</v>
      </c>
      <c r="K217" s="2" t="s">
        <v>1186</v>
      </c>
      <c r="L217" s="2" t="s">
        <v>1105</v>
      </c>
      <c r="M217" t="s">
        <v>699</v>
      </c>
      <c r="N217" t="s">
        <v>618</v>
      </c>
      <c r="O217" t="s">
        <v>699</v>
      </c>
      <c r="P217" t="s">
        <v>700</v>
      </c>
      <c r="Q217" s="2" t="s">
        <v>61</v>
      </c>
      <c r="R217" s="2" t="s">
        <v>1173</v>
      </c>
      <c r="S217" s="2" t="s">
        <v>63</v>
      </c>
      <c r="T217" s="2" t="s">
        <v>63</v>
      </c>
      <c r="U217" s="2" t="s">
        <v>40</v>
      </c>
      <c r="V217" s="2" t="s">
        <v>41</v>
      </c>
      <c r="W217" s="2" t="s">
        <v>1189</v>
      </c>
      <c r="X217" s="2" t="s">
        <v>1190</v>
      </c>
      <c r="Y217" s="2" t="s">
        <v>44</v>
      </c>
      <c r="Z217" s="2" t="b">
        <v>1</v>
      </c>
      <c r="AA217" s="2"/>
      <c r="AB217" s="2" t="s">
        <v>45</v>
      </c>
      <c r="AC217" s="2"/>
    </row>
    <row r="218" spans="1:29" x14ac:dyDescent="0.35">
      <c r="A218" s="1" t="s">
        <v>27</v>
      </c>
      <c r="B218" s="1" t="s">
        <v>28</v>
      </c>
      <c r="C218" s="1" t="s">
        <v>29</v>
      </c>
      <c r="D218" s="1" t="s">
        <v>30</v>
      </c>
      <c r="E218" s="1" t="s">
        <v>31</v>
      </c>
      <c r="F218" s="1" t="s">
        <v>1103</v>
      </c>
      <c r="G218" s="1" t="s">
        <v>1103</v>
      </c>
      <c r="H218" s="1" t="s">
        <v>54</v>
      </c>
      <c r="I218" s="1" t="s">
        <v>86</v>
      </c>
      <c r="J218" s="1" t="s">
        <v>56</v>
      </c>
      <c r="K218" s="1" t="s">
        <v>1191</v>
      </c>
      <c r="L218" s="1" t="s">
        <v>1105</v>
      </c>
      <c r="M218" t="s">
        <v>706</v>
      </c>
      <c r="N218" t="s">
        <v>618</v>
      </c>
      <c r="O218" t="s">
        <v>706</v>
      </c>
      <c r="P218" t="s">
        <v>707</v>
      </c>
      <c r="Q218" s="1" t="s">
        <v>61</v>
      </c>
      <c r="R218" s="1" t="s">
        <v>1173</v>
      </c>
      <c r="S218" s="1" t="s">
        <v>63</v>
      </c>
      <c r="T218" s="1" t="s">
        <v>63</v>
      </c>
      <c r="U218" s="1" t="s">
        <v>40</v>
      </c>
      <c r="V218" s="1" t="s">
        <v>41</v>
      </c>
      <c r="W218" s="1" t="s">
        <v>1194</v>
      </c>
      <c r="X218" s="1" t="s">
        <v>1195</v>
      </c>
      <c r="Y218" s="1" t="s">
        <v>44</v>
      </c>
      <c r="Z218" s="1" t="b">
        <v>1</v>
      </c>
      <c r="AA218" s="1"/>
      <c r="AB218" s="1" t="s">
        <v>45</v>
      </c>
      <c r="AC218" s="1"/>
    </row>
    <row r="219" spans="1:29" x14ac:dyDescent="0.35">
      <c r="A219" s="2" t="s">
        <v>27</v>
      </c>
      <c r="B219" s="2" t="s">
        <v>28</v>
      </c>
      <c r="C219" s="2" t="s">
        <v>29</v>
      </c>
      <c r="D219" s="2" t="s">
        <v>30</v>
      </c>
      <c r="E219" s="2" t="s">
        <v>31</v>
      </c>
      <c r="F219" s="2" t="s">
        <v>1103</v>
      </c>
      <c r="G219" s="2" t="s">
        <v>1103</v>
      </c>
      <c r="H219" s="2" t="s">
        <v>54</v>
      </c>
      <c r="I219" s="2" t="s">
        <v>86</v>
      </c>
      <c r="J219" s="2" t="s">
        <v>56</v>
      </c>
      <c r="K219" s="2" t="s">
        <v>1196</v>
      </c>
      <c r="L219" s="2" t="s">
        <v>1105</v>
      </c>
      <c r="M219" t="s">
        <v>712</v>
      </c>
      <c r="N219" t="s">
        <v>618</v>
      </c>
      <c r="O219" t="s">
        <v>712</v>
      </c>
      <c r="P219" t="s">
        <v>713</v>
      </c>
      <c r="Q219" s="2" t="s">
        <v>61</v>
      </c>
      <c r="R219" s="2" t="s">
        <v>1173</v>
      </c>
      <c r="S219" s="2" t="s">
        <v>63</v>
      </c>
      <c r="T219" s="2" t="s">
        <v>63</v>
      </c>
      <c r="U219" s="2" t="s">
        <v>40</v>
      </c>
      <c r="V219" s="2" t="s">
        <v>41</v>
      </c>
      <c r="W219" s="2" t="s">
        <v>1199</v>
      </c>
      <c r="X219" s="2" t="s">
        <v>1200</v>
      </c>
      <c r="Y219" s="2" t="s">
        <v>44</v>
      </c>
      <c r="Z219" s="2" t="b">
        <v>1</v>
      </c>
      <c r="AA219" s="2"/>
      <c r="AB219" s="2" t="s">
        <v>45</v>
      </c>
      <c r="AC219" s="2"/>
    </row>
    <row r="220" spans="1:29" x14ac:dyDescent="0.35">
      <c r="A220" s="1" t="s">
        <v>27</v>
      </c>
      <c r="B220" s="1" t="s">
        <v>28</v>
      </c>
      <c r="C220" s="1" t="s">
        <v>29</v>
      </c>
      <c r="D220" s="1" t="s">
        <v>30</v>
      </c>
      <c r="E220" s="1" t="s">
        <v>31</v>
      </c>
      <c r="F220" s="1" t="s">
        <v>1103</v>
      </c>
      <c r="G220" s="1" t="s">
        <v>1103</v>
      </c>
      <c r="H220" s="1" t="s">
        <v>54</v>
      </c>
      <c r="I220" s="1" t="s">
        <v>86</v>
      </c>
      <c r="J220" s="1" t="s">
        <v>56</v>
      </c>
      <c r="K220" s="1" t="s">
        <v>1201</v>
      </c>
      <c r="L220" s="1" t="s">
        <v>1105</v>
      </c>
      <c r="M220" t="s">
        <v>718</v>
      </c>
      <c r="N220" t="s">
        <v>618</v>
      </c>
      <c r="O220" t="s">
        <v>718</v>
      </c>
      <c r="P220" t="s">
        <v>719</v>
      </c>
      <c r="Q220" s="1" t="s">
        <v>61</v>
      </c>
      <c r="R220" s="1" t="s">
        <v>1173</v>
      </c>
      <c r="S220" s="1" t="s">
        <v>63</v>
      </c>
      <c r="T220" s="1" t="s">
        <v>63</v>
      </c>
      <c r="U220" s="1" t="s">
        <v>40</v>
      </c>
      <c r="V220" s="1" t="s">
        <v>41</v>
      </c>
      <c r="W220" s="1" t="s">
        <v>1204</v>
      </c>
      <c r="X220" s="1" t="s">
        <v>1205</v>
      </c>
      <c r="Y220" s="1" t="s">
        <v>44</v>
      </c>
      <c r="Z220" s="1" t="b">
        <v>1</v>
      </c>
      <c r="AA220" s="1"/>
      <c r="AB220" s="1" t="s">
        <v>45</v>
      </c>
      <c r="AC220" s="1"/>
    </row>
    <row r="221" spans="1:29" x14ac:dyDescent="0.35">
      <c r="A221" s="2" t="s">
        <v>27</v>
      </c>
      <c r="B221" s="2" t="s">
        <v>28</v>
      </c>
      <c r="C221" s="2" t="s">
        <v>29</v>
      </c>
      <c r="D221" s="2" t="s">
        <v>30</v>
      </c>
      <c r="E221" s="2" t="s">
        <v>31</v>
      </c>
      <c r="F221" s="2" t="s">
        <v>1103</v>
      </c>
      <c r="G221" s="2" t="s">
        <v>1103</v>
      </c>
      <c r="H221" s="2" t="s">
        <v>54</v>
      </c>
      <c r="I221" s="2" t="s">
        <v>86</v>
      </c>
      <c r="J221" s="2" t="s">
        <v>56</v>
      </c>
      <c r="K221" s="2" t="s">
        <v>1206</v>
      </c>
      <c r="L221" s="2" t="s">
        <v>1105</v>
      </c>
      <c r="M221" t="s">
        <v>724</v>
      </c>
      <c r="N221" t="s">
        <v>618</v>
      </c>
      <c r="O221" t="s">
        <v>724</v>
      </c>
      <c r="P221" t="s">
        <v>725</v>
      </c>
      <c r="Q221" s="2" t="s">
        <v>61</v>
      </c>
      <c r="R221" s="2" t="s">
        <v>1173</v>
      </c>
      <c r="S221" s="2" t="s">
        <v>63</v>
      </c>
      <c r="T221" s="2" t="s">
        <v>63</v>
      </c>
      <c r="U221" s="2" t="s">
        <v>40</v>
      </c>
      <c r="V221" s="2" t="s">
        <v>41</v>
      </c>
      <c r="W221" s="2" t="s">
        <v>1209</v>
      </c>
      <c r="X221" s="2" t="s">
        <v>1210</v>
      </c>
      <c r="Y221" s="2" t="s">
        <v>44</v>
      </c>
      <c r="Z221" s="2" t="b">
        <v>1</v>
      </c>
      <c r="AA221" s="2"/>
      <c r="AB221" s="2" t="s">
        <v>45</v>
      </c>
      <c r="AC221" s="2"/>
    </row>
    <row r="222" spans="1:29" x14ac:dyDescent="0.35">
      <c r="A222" s="1" t="s">
        <v>27</v>
      </c>
      <c r="B222" s="1" t="s">
        <v>28</v>
      </c>
      <c r="C222" s="1" t="s">
        <v>29</v>
      </c>
      <c r="D222" s="1" t="s">
        <v>30</v>
      </c>
      <c r="E222" s="1" t="s">
        <v>31</v>
      </c>
      <c r="F222" s="1" t="s">
        <v>1103</v>
      </c>
      <c r="G222" s="1" t="s">
        <v>1103</v>
      </c>
      <c r="H222" s="1" t="s">
        <v>54</v>
      </c>
      <c r="I222" s="1" t="s">
        <v>86</v>
      </c>
      <c r="J222" s="1" t="s">
        <v>56</v>
      </c>
      <c r="K222" s="1" t="s">
        <v>1211</v>
      </c>
      <c r="L222" s="1" t="s">
        <v>1105</v>
      </c>
      <c r="M222" t="s">
        <v>729</v>
      </c>
      <c r="N222" t="s">
        <v>618</v>
      </c>
      <c r="O222" t="s">
        <v>729</v>
      </c>
      <c r="P222" t="s">
        <v>730</v>
      </c>
      <c r="Q222" s="1" t="s">
        <v>61</v>
      </c>
      <c r="R222" s="1" t="s">
        <v>1173</v>
      </c>
      <c r="S222" s="1" t="s">
        <v>63</v>
      </c>
      <c r="T222" s="1" t="s">
        <v>63</v>
      </c>
      <c r="U222" s="1" t="s">
        <v>40</v>
      </c>
      <c r="V222" s="1" t="s">
        <v>41</v>
      </c>
      <c r="W222" s="1" t="s">
        <v>1214</v>
      </c>
      <c r="X222" s="1" t="s">
        <v>1215</v>
      </c>
      <c r="Y222" s="1" t="s">
        <v>44</v>
      </c>
      <c r="Z222" s="1" t="b">
        <v>1</v>
      </c>
      <c r="AA222" s="1"/>
      <c r="AB222" s="1" t="s">
        <v>45</v>
      </c>
      <c r="AC222" s="1"/>
    </row>
    <row r="223" spans="1:29" x14ac:dyDescent="0.35">
      <c r="A223" s="2" t="s">
        <v>27</v>
      </c>
      <c r="B223" s="2" t="s">
        <v>28</v>
      </c>
      <c r="C223" s="2" t="s">
        <v>29</v>
      </c>
      <c r="D223" s="2" t="s">
        <v>30</v>
      </c>
      <c r="E223" s="2" t="s">
        <v>31</v>
      </c>
      <c r="F223" s="2" t="s">
        <v>1103</v>
      </c>
      <c r="G223" s="2" t="s">
        <v>1103</v>
      </c>
      <c r="H223" s="2" t="s">
        <v>54</v>
      </c>
      <c r="I223" s="2" t="s">
        <v>86</v>
      </c>
      <c r="J223" s="2" t="s">
        <v>56</v>
      </c>
      <c r="K223" s="2" t="s">
        <v>1216</v>
      </c>
      <c r="L223" s="2" t="s">
        <v>1105</v>
      </c>
      <c r="M223" t="s">
        <v>733</v>
      </c>
      <c r="N223" t="s">
        <v>618</v>
      </c>
      <c r="O223" t="s">
        <v>733</v>
      </c>
      <c r="P223" t="s">
        <v>734</v>
      </c>
      <c r="Q223" s="2" t="s">
        <v>61</v>
      </c>
      <c r="R223" s="2" t="s">
        <v>1173</v>
      </c>
      <c r="S223" s="2" t="s">
        <v>63</v>
      </c>
      <c r="T223" s="2" t="s">
        <v>63</v>
      </c>
      <c r="U223" s="2" t="s">
        <v>40</v>
      </c>
      <c r="V223" s="2" t="s">
        <v>41</v>
      </c>
      <c r="W223" s="2" t="s">
        <v>1219</v>
      </c>
      <c r="X223" s="2" t="s">
        <v>1220</v>
      </c>
      <c r="Y223" s="2" t="s">
        <v>44</v>
      </c>
      <c r="Z223" s="2" t="b">
        <v>1</v>
      </c>
      <c r="AA223" s="2"/>
      <c r="AB223" s="2" t="s">
        <v>45</v>
      </c>
      <c r="AC223" s="2"/>
    </row>
    <row r="224" spans="1:29" x14ac:dyDescent="0.35">
      <c r="A224" s="1" t="s">
        <v>27</v>
      </c>
      <c r="B224" s="1" t="s">
        <v>28</v>
      </c>
      <c r="C224" s="1" t="s">
        <v>29</v>
      </c>
      <c r="D224" s="1" t="s">
        <v>30</v>
      </c>
      <c r="E224" s="1" t="s">
        <v>31</v>
      </c>
      <c r="F224" s="1" t="s">
        <v>1103</v>
      </c>
      <c r="G224" s="1" t="s">
        <v>1103</v>
      </c>
      <c r="H224" s="1" t="s">
        <v>54</v>
      </c>
      <c r="I224" s="1" t="s">
        <v>86</v>
      </c>
      <c r="J224" s="1" t="s">
        <v>56</v>
      </c>
      <c r="K224" s="1" t="s">
        <v>1221</v>
      </c>
      <c r="L224" s="1" t="s">
        <v>1105</v>
      </c>
      <c r="M224" t="s">
        <v>738</v>
      </c>
      <c r="N224" t="s">
        <v>618</v>
      </c>
      <c r="O224" t="s">
        <v>738</v>
      </c>
      <c r="P224" t="s">
        <v>739</v>
      </c>
      <c r="Q224" s="1" t="s">
        <v>61</v>
      </c>
      <c r="R224" s="1" t="s">
        <v>1173</v>
      </c>
      <c r="S224" s="1" t="s">
        <v>63</v>
      </c>
      <c r="T224" s="1" t="s">
        <v>63</v>
      </c>
      <c r="U224" s="1" t="s">
        <v>40</v>
      </c>
      <c r="V224" s="1" t="s">
        <v>41</v>
      </c>
      <c r="W224" s="1" t="s">
        <v>1224</v>
      </c>
      <c r="X224" s="1" t="s">
        <v>1225</v>
      </c>
      <c r="Y224" s="1" t="s">
        <v>44</v>
      </c>
      <c r="Z224" s="1" t="b">
        <v>1</v>
      </c>
      <c r="AA224" s="1"/>
      <c r="AB224" s="1" t="s">
        <v>45</v>
      </c>
      <c r="AC224" s="1"/>
    </row>
    <row r="225" spans="1:29" x14ac:dyDescent="0.35">
      <c r="A225" s="2" t="s">
        <v>27</v>
      </c>
      <c r="B225" s="2" t="s">
        <v>28</v>
      </c>
      <c r="C225" s="2" t="s">
        <v>29</v>
      </c>
      <c r="D225" s="2" t="s">
        <v>30</v>
      </c>
      <c r="E225" s="2" t="s">
        <v>31</v>
      </c>
      <c r="F225" s="2" t="s">
        <v>1103</v>
      </c>
      <c r="G225" s="2" t="s">
        <v>1103</v>
      </c>
      <c r="H225" s="2" t="s">
        <v>54</v>
      </c>
      <c r="I225" s="2" t="s">
        <v>86</v>
      </c>
      <c r="J225" s="2" t="s">
        <v>56</v>
      </c>
      <c r="K225" s="2" t="s">
        <v>1226</v>
      </c>
      <c r="L225" s="2" t="s">
        <v>1105</v>
      </c>
      <c r="M225" t="s">
        <v>742</v>
      </c>
      <c r="N225" t="s">
        <v>618</v>
      </c>
      <c r="O225" t="s">
        <v>742</v>
      </c>
      <c r="P225" t="s">
        <v>743</v>
      </c>
      <c r="Q225" s="2" t="s">
        <v>61</v>
      </c>
      <c r="R225" s="2" t="s">
        <v>1173</v>
      </c>
      <c r="S225" s="2" t="s">
        <v>63</v>
      </c>
      <c r="T225" s="2" t="s">
        <v>63</v>
      </c>
      <c r="U225" s="2" t="s">
        <v>40</v>
      </c>
      <c r="V225" s="2" t="s">
        <v>41</v>
      </c>
      <c r="W225" s="2" t="s">
        <v>1229</v>
      </c>
      <c r="X225" s="2" t="s">
        <v>1230</v>
      </c>
      <c r="Y225" s="2" t="s">
        <v>44</v>
      </c>
      <c r="Z225" s="2" t="b">
        <v>1</v>
      </c>
      <c r="AA225" s="2"/>
      <c r="AB225" s="2" t="s">
        <v>45</v>
      </c>
      <c r="AC225" s="2"/>
    </row>
    <row r="226" spans="1:29" x14ac:dyDescent="0.35">
      <c r="A226" s="1" t="s">
        <v>27</v>
      </c>
      <c r="B226" s="1" t="s">
        <v>28</v>
      </c>
      <c r="C226" s="1" t="s">
        <v>29</v>
      </c>
      <c r="D226" s="1" t="s">
        <v>30</v>
      </c>
      <c r="E226" s="1" t="s">
        <v>31</v>
      </c>
      <c r="F226" s="1" t="s">
        <v>1103</v>
      </c>
      <c r="G226" s="1" t="s">
        <v>1103</v>
      </c>
      <c r="H226" s="1" t="s">
        <v>54</v>
      </c>
      <c r="I226" s="1" t="s">
        <v>86</v>
      </c>
      <c r="J226" s="1" t="s">
        <v>56</v>
      </c>
      <c r="K226" s="1" t="s">
        <v>1231</v>
      </c>
      <c r="L226" s="1" t="s">
        <v>1105</v>
      </c>
      <c r="M226" t="s">
        <v>747</v>
      </c>
      <c r="N226" t="s">
        <v>618</v>
      </c>
      <c r="O226" t="s">
        <v>747</v>
      </c>
      <c r="P226" t="s">
        <v>748</v>
      </c>
      <c r="Q226" s="1" t="s">
        <v>61</v>
      </c>
      <c r="R226" s="1" t="s">
        <v>1173</v>
      </c>
      <c r="S226" s="1" t="s">
        <v>63</v>
      </c>
      <c r="T226" s="1" t="s">
        <v>63</v>
      </c>
      <c r="U226" s="1" t="s">
        <v>40</v>
      </c>
      <c r="V226" s="1" t="s">
        <v>41</v>
      </c>
      <c r="W226" s="1" t="s">
        <v>1234</v>
      </c>
      <c r="X226" s="1" t="s">
        <v>1235</v>
      </c>
      <c r="Y226" s="1" t="s">
        <v>44</v>
      </c>
      <c r="Z226" s="1" t="b">
        <v>1</v>
      </c>
      <c r="AA226" s="1"/>
      <c r="AB226" s="1" t="s">
        <v>45</v>
      </c>
      <c r="AC226" s="1"/>
    </row>
    <row r="227" spans="1:29" x14ac:dyDescent="0.35">
      <c r="A227" s="2" t="s">
        <v>27</v>
      </c>
      <c r="B227" s="2" t="s">
        <v>28</v>
      </c>
      <c r="C227" s="2" t="s">
        <v>29</v>
      </c>
      <c r="D227" s="2" t="s">
        <v>30</v>
      </c>
      <c r="E227" s="2" t="s">
        <v>31</v>
      </c>
      <c r="F227" s="2" t="s">
        <v>1103</v>
      </c>
      <c r="G227" s="2" t="s">
        <v>1103</v>
      </c>
      <c r="H227" s="2" t="s">
        <v>54</v>
      </c>
      <c r="I227" s="2" t="s">
        <v>86</v>
      </c>
      <c r="J227" s="2" t="s">
        <v>139</v>
      </c>
      <c r="K227" s="2" t="s">
        <v>1236</v>
      </c>
      <c r="L227" s="2" t="s">
        <v>141</v>
      </c>
      <c r="M227" t="s">
        <v>751</v>
      </c>
      <c r="N227" t="s">
        <v>618</v>
      </c>
      <c r="O227" t="s">
        <v>751</v>
      </c>
      <c r="P227" t="s">
        <v>752</v>
      </c>
      <c r="Q227" s="2" t="s">
        <v>61</v>
      </c>
      <c r="R227" s="2" t="s">
        <v>156</v>
      </c>
      <c r="S227" s="2" t="s">
        <v>63</v>
      </c>
      <c r="T227" s="2" t="s">
        <v>63</v>
      </c>
      <c r="U227" s="2" t="s">
        <v>40</v>
      </c>
      <c r="V227" s="2" t="s">
        <v>41</v>
      </c>
      <c r="W227" s="2" t="s">
        <v>1239</v>
      </c>
      <c r="X227" s="2" t="s">
        <v>1240</v>
      </c>
      <c r="Y227" s="2" t="s">
        <v>44</v>
      </c>
      <c r="Z227" s="2" t="b">
        <v>1</v>
      </c>
      <c r="AA227" s="2"/>
      <c r="AB227" s="2" t="s">
        <v>45</v>
      </c>
      <c r="AC227" s="2"/>
    </row>
    <row r="228" spans="1:29" x14ac:dyDescent="0.35">
      <c r="A228" s="1" t="s">
        <v>27</v>
      </c>
      <c r="B228" s="1" t="s">
        <v>28</v>
      </c>
      <c r="C228" s="1" t="s">
        <v>29</v>
      </c>
      <c r="D228" s="1" t="s">
        <v>30</v>
      </c>
      <c r="E228" s="1" t="s">
        <v>31</v>
      </c>
      <c r="F228" s="1" t="s">
        <v>1103</v>
      </c>
      <c r="G228" s="1" t="s">
        <v>1103</v>
      </c>
      <c r="H228" s="1" t="s">
        <v>54</v>
      </c>
      <c r="I228" s="1" t="s">
        <v>86</v>
      </c>
      <c r="J228" s="1" t="s">
        <v>139</v>
      </c>
      <c r="K228" s="1" t="s">
        <v>1241</v>
      </c>
      <c r="L228" s="1" t="s">
        <v>141</v>
      </c>
      <c r="M228" t="s">
        <v>756</v>
      </c>
      <c r="N228" t="s">
        <v>618</v>
      </c>
      <c r="O228" t="s">
        <v>756</v>
      </c>
      <c r="P228" t="s">
        <v>757</v>
      </c>
      <c r="Q228" s="1" t="s">
        <v>61</v>
      </c>
      <c r="R228" s="1" t="s">
        <v>156</v>
      </c>
      <c r="S228" s="1" t="s">
        <v>63</v>
      </c>
      <c r="T228" s="1" t="s">
        <v>63</v>
      </c>
      <c r="U228" s="1" t="s">
        <v>40</v>
      </c>
      <c r="V228" s="1" t="s">
        <v>41</v>
      </c>
      <c r="W228" s="1" t="s">
        <v>1244</v>
      </c>
      <c r="X228" s="1" t="s">
        <v>1245</v>
      </c>
      <c r="Y228" s="1" t="s">
        <v>44</v>
      </c>
      <c r="Z228" s="1" t="b">
        <v>1</v>
      </c>
      <c r="AA228" s="1"/>
      <c r="AB228" s="1" t="s">
        <v>45</v>
      </c>
      <c r="AC228" s="1"/>
    </row>
    <row r="229" spans="1:29" x14ac:dyDescent="0.35">
      <c r="A229" s="2" t="s">
        <v>27</v>
      </c>
      <c r="B229" s="2" t="s">
        <v>28</v>
      </c>
      <c r="C229" s="2" t="s">
        <v>29</v>
      </c>
      <c r="D229" s="2" t="s">
        <v>30</v>
      </c>
      <c r="E229" s="2" t="s">
        <v>31</v>
      </c>
      <c r="F229" s="2" t="s">
        <v>1103</v>
      </c>
      <c r="G229" s="2" t="s">
        <v>1103</v>
      </c>
      <c r="H229" s="2" t="s">
        <v>54</v>
      </c>
      <c r="I229" s="2" t="s">
        <v>86</v>
      </c>
      <c r="J229" s="2" t="s">
        <v>139</v>
      </c>
      <c r="K229" s="2" t="s">
        <v>1246</v>
      </c>
      <c r="L229" s="2" t="s">
        <v>141</v>
      </c>
      <c r="M229" t="s">
        <v>760</v>
      </c>
      <c r="N229" t="s">
        <v>618</v>
      </c>
      <c r="O229" t="s">
        <v>760</v>
      </c>
      <c r="P229" t="s">
        <v>761</v>
      </c>
      <c r="Q229" s="2" t="s">
        <v>61</v>
      </c>
      <c r="R229" s="2" t="s">
        <v>156</v>
      </c>
      <c r="S229" s="2" t="s">
        <v>63</v>
      </c>
      <c r="T229" s="2" t="s">
        <v>63</v>
      </c>
      <c r="U229" s="2" t="s">
        <v>40</v>
      </c>
      <c r="V229" s="2" t="s">
        <v>41</v>
      </c>
      <c r="W229" s="2" t="s">
        <v>1249</v>
      </c>
      <c r="X229" s="2" t="s">
        <v>1250</v>
      </c>
      <c r="Y229" s="2" t="s">
        <v>44</v>
      </c>
      <c r="Z229" s="2" t="b">
        <v>1</v>
      </c>
      <c r="AA229" s="2"/>
      <c r="AB229" s="2" t="s">
        <v>45</v>
      </c>
      <c r="AC229" s="2"/>
    </row>
    <row r="230" spans="1:29" x14ac:dyDescent="0.35">
      <c r="A230" s="1" t="s">
        <v>27</v>
      </c>
      <c r="B230" s="1" t="s">
        <v>28</v>
      </c>
      <c r="C230" s="1" t="s">
        <v>29</v>
      </c>
      <c r="D230" s="1" t="s">
        <v>30</v>
      </c>
      <c r="E230" s="1" t="s">
        <v>31</v>
      </c>
      <c r="F230" s="1" t="s">
        <v>1103</v>
      </c>
      <c r="G230" s="1" t="s">
        <v>1103</v>
      </c>
      <c r="H230" s="1" t="s">
        <v>54</v>
      </c>
      <c r="I230" s="1" t="s">
        <v>86</v>
      </c>
      <c r="J230" s="1" t="s">
        <v>139</v>
      </c>
      <c r="K230" s="1" t="s">
        <v>1251</v>
      </c>
      <c r="L230" s="1" t="s">
        <v>141</v>
      </c>
      <c r="M230" t="s">
        <v>765</v>
      </c>
      <c r="N230" t="s">
        <v>618</v>
      </c>
      <c r="O230" t="s">
        <v>765</v>
      </c>
      <c r="P230" t="s">
        <v>766</v>
      </c>
      <c r="Q230" s="1" t="s">
        <v>61</v>
      </c>
      <c r="R230" s="1" t="s">
        <v>156</v>
      </c>
      <c r="S230" s="1" t="s">
        <v>63</v>
      </c>
      <c r="T230" s="1" t="s">
        <v>63</v>
      </c>
      <c r="U230" s="1" t="s">
        <v>40</v>
      </c>
      <c r="V230" s="1" t="s">
        <v>41</v>
      </c>
      <c r="W230" s="1" t="s">
        <v>1254</v>
      </c>
      <c r="X230" s="1" t="s">
        <v>1255</v>
      </c>
      <c r="Y230" s="1" t="s">
        <v>44</v>
      </c>
      <c r="Z230" s="1" t="b">
        <v>1</v>
      </c>
      <c r="AA230" s="1"/>
      <c r="AB230" s="1" t="s">
        <v>45</v>
      </c>
      <c r="AC230" s="1"/>
    </row>
    <row r="231" spans="1:29" x14ac:dyDescent="0.35">
      <c r="A231" s="2" t="s">
        <v>27</v>
      </c>
      <c r="B231" s="2" t="s">
        <v>28</v>
      </c>
      <c r="C231" s="2" t="s">
        <v>29</v>
      </c>
      <c r="D231" s="2" t="s">
        <v>30</v>
      </c>
      <c r="E231" s="2" t="s">
        <v>31</v>
      </c>
      <c r="F231" s="2" t="s">
        <v>1103</v>
      </c>
      <c r="G231" s="2" t="s">
        <v>1103</v>
      </c>
      <c r="H231" s="2" t="s">
        <v>54</v>
      </c>
      <c r="I231" s="2" t="s">
        <v>86</v>
      </c>
      <c r="J231" s="2" t="s">
        <v>139</v>
      </c>
      <c r="K231" s="2" t="s">
        <v>1256</v>
      </c>
      <c r="L231" s="2" t="s">
        <v>141</v>
      </c>
      <c r="M231" t="s">
        <v>769</v>
      </c>
      <c r="N231" t="s">
        <v>618</v>
      </c>
      <c r="O231" t="s">
        <v>769</v>
      </c>
      <c r="P231" t="s">
        <v>770</v>
      </c>
      <c r="Q231" s="2" t="s">
        <v>61</v>
      </c>
      <c r="R231" s="2" t="s">
        <v>156</v>
      </c>
      <c r="S231" s="2" t="s">
        <v>63</v>
      </c>
      <c r="T231" s="2" t="s">
        <v>63</v>
      </c>
      <c r="U231" s="2" t="s">
        <v>40</v>
      </c>
      <c r="V231" s="2" t="s">
        <v>41</v>
      </c>
      <c r="W231" s="2" t="s">
        <v>1259</v>
      </c>
      <c r="X231" s="2" t="s">
        <v>1260</v>
      </c>
      <c r="Y231" s="2" t="s">
        <v>44</v>
      </c>
      <c r="Z231" s="2" t="b">
        <v>1</v>
      </c>
      <c r="AA231" s="2"/>
      <c r="AB231" s="2" t="s">
        <v>45</v>
      </c>
      <c r="AC231" s="2"/>
    </row>
    <row r="232" spans="1:29" x14ac:dyDescent="0.35">
      <c r="A232" s="1" t="s">
        <v>27</v>
      </c>
      <c r="B232" s="1" t="s">
        <v>28</v>
      </c>
      <c r="C232" s="1" t="s">
        <v>29</v>
      </c>
      <c r="D232" s="1" t="s">
        <v>30</v>
      </c>
      <c r="E232" s="1" t="s">
        <v>31</v>
      </c>
      <c r="F232" s="1" t="s">
        <v>1103</v>
      </c>
      <c r="G232" s="1" t="s">
        <v>1103</v>
      </c>
      <c r="H232" s="1" t="s">
        <v>54</v>
      </c>
      <c r="I232" s="1" t="s">
        <v>86</v>
      </c>
      <c r="J232" s="1" t="s">
        <v>139</v>
      </c>
      <c r="K232" s="1" t="s">
        <v>1261</v>
      </c>
      <c r="L232" s="1" t="s">
        <v>141</v>
      </c>
      <c r="M232" t="s">
        <v>774</v>
      </c>
      <c r="N232" t="s">
        <v>618</v>
      </c>
      <c r="O232" t="s">
        <v>774</v>
      </c>
      <c r="P232" t="s">
        <v>775</v>
      </c>
      <c r="Q232" s="1" t="s">
        <v>61</v>
      </c>
      <c r="R232" s="1" t="s">
        <v>156</v>
      </c>
      <c r="S232" s="1" t="s">
        <v>63</v>
      </c>
      <c r="T232" s="1" t="s">
        <v>63</v>
      </c>
      <c r="U232" s="1" t="s">
        <v>40</v>
      </c>
      <c r="V232" s="1" t="s">
        <v>41</v>
      </c>
      <c r="W232" s="1" t="s">
        <v>1264</v>
      </c>
      <c r="X232" s="1" t="s">
        <v>1265</v>
      </c>
      <c r="Y232" s="1" t="s">
        <v>44</v>
      </c>
      <c r="Z232" s="1" t="b">
        <v>1</v>
      </c>
      <c r="AA232" s="1"/>
      <c r="AB232" s="1" t="s">
        <v>45</v>
      </c>
      <c r="AC232" s="1"/>
    </row>
    <row r="233" spans="1:29" x14ac:dyDescent="0.35">
      <c r="A233" s="2" t="s">
        <v>27</v>
      </c>
      <c r="B233" s="2" t="s">
        <v>28</v>
      </c>
      <c r="C233" s="2" t="s">
        <v>29</v>
      </c>
      <c r="D233" s="2" t="s">
        <v>30</v>
      </c>
      <c r="E233" s="2" t="s">
        <v>31</v>
      </c>
      <c r="F233" s="2" t="s">
        <v>1103</v>
      </c>
      <c r="G233" s="2" t="s">
        <v>1103</v>
      </c>
      <c r="H233" s="2" t="s">
        <v>54</v>
      </c>
      <c r="I233" s="2" t="s">
        <v>86</v>
      </c>
      <c r="J233" s="2" t="s">
        <v>139</v>
      </c>
      <c r="K233" s="2" t="s">
        <v>1266</v>
      </c>
      <c r="L233" s="2" t="s">
        <v>141</v>
      </c>
      <c r="M233" t="s">
        <v>778</v>
      </c>
      <c r="N233" t="s">
        <v>618</v>
      </c>
      <c r="O233" t="s">
        <v>778</v>
      </c>
      <c r="P233" t="s">
        <v>779</v>
      </c>
      <c r="Q233" s="2" t="s">
        <v>61</v>
      </c>
      <c r="R233" s="2" t="s">
        <v>156</v>
      </c>
      <c r="S233" s="2" t="s">
        <v>63</v>
      </c>
      <c r="T233" s="2" t="s">
        <v>63</v>
      </c>
      <c r="U233" s="2" t="s">
        <v>40</v>
      </c>
      <c r="V233" s="2" t="s">
        <v>41</v>
      </c>
      <c r="W233" s="2" t="s">
        <v>1269</v>
      </c>
      <c r="X233" s="2" t="s">
        <v>1270</v>
      </c>
      <c r="Y233" s="2" t="s">
        <v>44</v>
      </c>
      <c r="Z233" s="2" t="b">
        <v>1</v>
      </c>
      <c r="AA233" s="2"/>
      <c r="AB233" s="2" t="s">
        <v>45</v>
      </c>
      <c r="AC233" s="2"/>
    </row>
    <row r="234" spans="1:29" x14ac:dyDescent="0.35">
      <c r="A234" s="1" t="s">
        <v>27</v>
      </c>
      <c r="B234" s="1" t="s">
        <v>28</v>
      </c>
      <c r="C234" s="1" t="s">
        <v>29</v>
      </c>
      <c r="D234" s="1" t="s">
        <v>30</v>
      </c>
      <c r="E234" s="1" t="s">
        <v>31</v>
      </c>
      <c r="F234" s="1" t="s">
        <v>1103</v>
      </c>
      <c r="G234" s="1" t="s">
        <v>1103</v>
      </c>
      <c r="H234" s="1" t="s">
        <v>54</v>
      </c>
      <c r="I234" s="1" t="s">
        <v>86</v>
      </c>
      <c r="J234" s="1" t="s">
        <v>139</v>
      </c>
      <c r="K234" s="1" t="s">
        <v>1271</v>
      </c>
      <c r="L234" s="1" t="s">
        <v>141</v>
      </c>
      <c r="M234" t="s">
        <v>783</v>
      </c>
      <c r="N234" t="s">
        <v>618</v>
      </c>
      <c r="O234" t="s">
        <v>783</v>
      </c>
      <c r="P234" t="s">
        <v>784</v>
      </c>
      <c r="Q234" s="1" t="s">
        <v>61</v>
      </c>
      <c r="R234" s="1" t="s">
        <v>156</v>
      </c>
      <c r="S234" s="1" t="s">
        <v>63</v>
      </c>
      <c r="T234" s="1" t="s">
        <v>63</v>
      </c>
      <c r="U234" s="1" t="s">
        <v>40</v>
      </c>
      <c r="V234" s="1" t="s">
        <v>41</v>
      </c>
      <c r="W234" s="1" t="s">
        <v>1274</v>
      </c>
      <c r="X234" s="1" t="s">
        <v>1275</v>
      </c>
      <c r="Y234" s="1" t="s">
        <v>44</v>
      </c>
      <c r="Z234" s="1" t="b">
        <v>1</v>
      </c>
      <c r="AA234" s="1"/>
      <c r="AB234" s="1" t="s">
        <v>45</v>
      </c>
      <c r="AC234" s="1"/>
    </row>
    <row r="235" spans="1:29" x14ac:dyDescent="0.35">
      <c r="A235" s="2" t="s">
        <v>27</v>
      </c>
      <c r="B235" s="2" t="s">
        <v>28</v>
      </c>
      <c r="C235" s="2" t="s">
        <v>29</v>
      </c>
      <c r="D235" s="2" t="s">
        <v>30</v>
      </c>
      <c r="E235" s="2" t="s">
        <v>31</v>
      </c>
      <c r="F235" s="2" t="s">
        <v>1103</v>
      </c>
      <c r="G235" s="2" t="s">
        <v>1103</v>
      </c>
      <c r="H235" s="2" t="s">
        <v>54</v>
      </c>
      <c r="I235" s="2" t="s">
        <v>86</v>
      </c>
      <c r="J235" s="2" t="s">
        <v>139</v>
      </c>
      <c r="K235" s="2" t="s">
        <v>1276</v>
      </c>
      <c r="L235" s="2" t="s">
        <v>141</v>
      </c>
      <c r="M235" t="s">
        <v>787</v>
      </c>
      <c r="N235" t="s">
        <v>618</v>
      </c>
      <c r="O235" t="s">
        <v>787</v>
      </c>
      <c r="P235" t="s">
        <v>788</v>
      </c>
      <c r="Q235" s="2" t="s">
        <v>61</v>
      </c>
      <c r="R235" s="2" t="s">
        <v>156</v>
      </c>
      <c r="S235" s="2" t="s">
        <v>63</v>
      </c>
      <c r="T235" s="2" t="s">
        <v>63</v>
      </c>
      <c r="U235" s="2" t="s">
        <v>40</v>
      </c>
      <c r="V235" s="2" t="s">
        <v>41</v>
      </c>
      <c r="W235" s="2" t="s">
        <v>1279</v>
      </c>
      <c r="X235" s="2" t="s">
        <v>1280</v>
      </c>
      <c r="Y235" s="2" t="s">
        <v>44</v>
      </c>
      <c r="Z235" s="2" t="b">
        <v>1</v>
      </c>
      <c r="AA235" s="2"/>
      <c r="AB235" s="2" t="s">
        <v>45</v>
      </c>
      <c r="AC235" s="2"/>
    </row>
    <row r="236" spans="1:29" x14ac:dyDescent="0.35">
      <c r="A236" s="1" t="s">
        <v>27</v>
      </c>
      <c r="B236" s="1" t="s">
        <v>28</v>
      </c>
      <c r="C236" s="1" t="s">
        <v>29</v>
      </c>
      <c r="D236" s="1" t="s">
        <v>30</v>
      </c>
      <c r="E236" s="1" t="s">
        <v>31</v>
      </c>
      <c r="F236" s="1" t="s">
        <v>1103</v>
      </c>
      <c r="G236" s="1" t="s">
        <v>1103</v>
      </c>
      <c r="H236" s="1" t="s">
        <v>54</v>
      </c>
      <c r="I236" s="1" t="s">
        <v>86</v>
      </c>
      <c r="J236" s="1" t="s">
        <v>139</v>
      </c>
      <c r="K236" s="1" t="s">
        <v>1281</v>
      </c>
      <c r="L236" s="1" t="s">
        <v>141</v>
      </c>
      <c r="M236" t="s">
        <v>792</v>
      </c>
      <c r="N236" t="s">
        <v>618</v>
      </c>
      <c r="O236" t="s">
        <v>792</v>
      </c>
      <c r="P236" t="s">
        <v>793</v>
      </c>
      <c r="Q236" s="1" t="s">
        <v>61</v>
      </c>
      <c r="R236" s="1" t="s">
        <v>156</v>
      </c>
      <c r="S236" s="1" t="s">
        <v>63</v>
      </c>
      <c r="T236" s="1" t="s">
        <v>63</v>
      </c>
      <c r="U236" s="1" t="s">
        <v>40</v>
      </c>
      <c r="V236" s="1" t="s">
        <v>41</v>
      </c>
      <c r="W236" s="1" t="s">
        <v>1284</v>
      </c>
      <c r="X236" s="1" t="s">
        <v>1285</v>
      </c>
      <c r="Y236" s="1" t="s">
        <v>44</v>
      </c>
      <c r="Z236" s="1" t="b">
        <v>1</v>
      </c>
      <c r="AA236" s="1"/>
      <c r="AB236" s="1" t="s">
        <v>45</v>
      </c>
      <c r="AC236" s="1"/>
    </row>
    <row r="237" spans="1:29" x14ac:dyDescent="0.35">
      <c r="A237" s="2" t="s">
        <v>27</v>
      </c>
      <c r="B237" s="2" t="s">
        <v>28</v>
      </c>
      <c r="C237" s="2" t="s">
        <v>29</v>
      </c>
      <c r="D237" s="2" t="s">
        <v>30</v>
      </c>
      <c r="E237" s="2" t="s">
        <v>31</v>
      </c>
      <c r="F237" s="2" t="s">
        <v>1103</v>
      </c>
      <c r="G237" s="2" t="s">
        <v>1103</v>
      </c>
      <c r="H237" s="2" t="s">
        <v>54</v>
      </c>
      <c r="I237" s="2" t="s">
        <v>86</v>
      </c>
      <c r="J237" s="2" t="s">
        <v>139</v>
      </c>
      <c r="K237" s="2" t="s">
        <v>1286</v>
      </c>
      <c r="L237" s="2" t="s">
        <v>141</v>
      </c>
      <c r="M237" t="s">
        <v>796</v>
      </c>
      <c r="N237" t="s">
        <v>618</v>
      </c>
      <c r="O237" t="s">
        <v>796</v>
      </c>
      <c r="P237" t="s">
        <v>797</v>
      </c>
      <c r="Q237" s="2" t="s">
        <v>61</v>
      </c>
      <c r="R237" s="2" t="s">
        <v>156</v>
      </c>
      <c r="S237" s="2" t="s">
        <v>63</v>
      </c>
      <c r="T237" s="2" t="s">
        <v>63</v>
      </c>
      <c r="U237" s="2" t="s">
        <v>40</v>
      </c>
      <c r="V237" s="2" t="s">
        <v>41</v>
      </c>
      <c r="W237" s="2" t="s">
        <v>1289</v>
      </c>
      <c r="X237" s="2" t="s">
        <v>1290</v>
      </c>
      <c r="Y237" s="2" t="s">
        <v>44</v>
      </c>
      <c r="Z237" s="2" t="b">
        <v>1</v>
      </c>
      <c r="AA237" s="2"/>
      <c r="AB237" s="2" t="s">
        <v>45</v>
      </c>
      <c r="AC237" s="2"/>
    </row>
    <row r="238" spans="1:29" x14ac:dyDescent="0.35">
      <c r="A238" s="1" t="s">
        <v>27</v>
      </c>
      <c r="B238" s="1" t="s">
        <v>28</v>
      </c>
      <c r="C238" s="1" t="s">
        <v>29</v>
      </c>
      <c r="D238" s="1" t="s">
        <v>30</v>
      </c>
      <c r="E238" s="1" t="s">
        <v>31</v>
      </c>
      <c r="F238" s="1" t="s">
        <v>1103</v>
      </c>
      <c r="G238" s="1" t="s">
        <v>1103</v>
      </c>
      <c r="H238" s="1" t="s">
        <v>54</v>
      </c>
      <c r="I238" s="1" t="s">
        <v>86</v>
      </c>
      <c r="J238" s="1" t="s">
        <v>139</v>
      </c>
      <c r="K238" s="1" t="s">
        <v>1291</v>
      </c>
      <c r="L238" s="1" t="s">
        <v>141</v>
      </c>
      <c r="M238" t="s">
        <v>801</v>
      </c>
      <c r="N238" t="s">
        <v>618</v>
      </c>
      <c r="O238" t="s">
        <v>801</v>
      </c>
      <c r="P238" t="s">
        <v>802</v>
      </c>
      <c r="Q238" s="1" t="s">
        <v>61</v>
      </c>
      <c r="R238" s="1" t="s">
        <v>156</v>
      </c>
      <c r="S238" s="1" t="s">
        <v>63</v>
      </c>
      <c r="T238" s="1" t="s">
        <v>63</v>
      </c>
      <c r="U238" s="1" t="s">
        <v>40</v>
      </c>
      <c r="V238" s="1" t="s">
        <v>41</v>
      </c>
      <c r="W238" s="1" t="s">
        <v>1294</v>
      </c>
      <c r="X238" s="1" t="s">
        <v>1295</v>
      </c>
      <c r="Y238" s="1" t="s">
        <v>44</v>
      </c>
      <c r="Z238" s="1" t="b">
        <v>1</v>
      </c>
      <c r="AA238" s="1"/>
      <c r="AB238" s="1" t="s">
        <v>45</v>
      </c>
      <c r="AC238" s="1"/>
    </row>
    <row r="239" spans="1:29" x14ac:dyDescent="0.35">
      <c r="A239" s="2" t="s">
        <v>27</v>
      </c>
      <c r="B239" s="2" t="s">
        <v>28</v>
      </c>
      <c r="C239" s="2" t="s">
        <v>29</v>
      </c>
      <c r="D239" s="2" t="s">
        <v>30</v>
      </c>
      <c r="E239" s="2" t="s">
        <v>31</v>
      </c>
      <c r="F239" s="2" t="s">
        <v>1103</v>
      </c>
      <c r="G239" s="2" t="s">
        <v>1103</v>
      </c>
      <c r="H239" s="2" t="s">
        <v>54</v>
      </c>
      <c r="I239" s="2" t="s">
        <v>86</v>
      </c>
      <c r="J239" s="2" t="s">
        <v>139</v>
      </c>
      <c r="K239" s="2" t="s">
        <v>1296</v>
      </c>
      <c r="L239" s="2" t="s">
        <v>141</v>
      </c>
      <c r="M239" t="s">
        <v>805</v>
      </c>
      <c r="N239" t="s">
        <v>618</v>
      </c>
      <c r="O239" t="s">
        <v>805</v>
      </c>
      <c r="P239" t="s">
        <v>806</v>
      </c>
      <c r="Q239" s="2" t="s">
        <v>61</v>
      </c>
      <c r="R239" s="2" t="s">
        <v>156</v>
      </c>
      <c r="S239" s="2" t="s">
        <v>63</v>
      </c>
      <c r="T239" s="2" t="s">
        <v>63</v>
      </c>
      <c r="U239" s="2" t="s">
        <v>40</v>
      </c>
      <c r="V239" s="2" t="s">
        <v>41</v>
      </c>
      <c r="W239" s="2" t="s">
        <v>1299</v>
      </c>
      <c r="X239" s="2" t="s">
        <v>1300</v>
      </c>
      <c r="Y239" s="2" t="s">
        <v>44</v>
      </c>
      <c r="Z239" s="2" t="b">
        <v>1</v>
      </c>
      <c r="AA239" s="2"/>
      <c r="AB239" s="2" t="s">
        <v>45</v>
      </c>
      <c r="AC239" s="2"/>
    </row>
    <row r="240" spans="1:29" x14ac:dyDescent="0.35">
      <c r="A240" s="1" t="s">
        <v>27</v>
      </c>
      <c r="B240" s="1" t="s">
        <v>28</v>
      </c>
      <c r="C240" s="1" t="s">
        <v>29</v>
      </c>
      <c r="D240" s="1" t="s">
        <v>30</v>
      </c>
      <c r="E240" s="1" t="s">
        <v>31</v>
      </c>
      <c r="F240" s="1" t="s">
        <v>1103</v>
      </c>
      <c r="G240" s="1" t="s">
        <v>1103</v>
      </c>
      <c r="H240" s="1" t="s">
        <v>54</v>
      </c>
      <c r="I240" s="1" t="s">
        <v>86</v>
      </c>
      <c r="J240" s="1" t="s">
        <v>139</v>
      </c>
      <c r="K240" s="1" t="s">
        <v>1301</v>
      </c>
      <c r="L240" s="1" t="s">
        <v>141</v>
      </c>
      <c r="M240" t="s">
        <v>810</v>
      </c>
      <c r="N240" t="s">
        <v>618</v>
      </c>
      <c r="O240" t="s">
        <v>810</v>
      </c>
      <c r="P240" t="s">
        <v>811</v>
      </c>
      <c r="Q240" s="1" t="s">
        <v>61</v>
      </c>
      <c r="R240" s="1" t="s">
        <v>1304</v>
      </c>
      <c r="S240" s="1" t="s">
        <v>63</v>
      </c>
      <c r="T240" s="1" t="s">
        <v>63</v>
      </c>
      <c r="U240" s="1" t="s">
        <v>40</v>
      </c>
      <c r="V240" s="1" t="s">
        <v>41</v>
      </c>
      <c r="W240" s="1" t="s">
        <v>1305</v>
      </c>
      <c r="X240" s="1" t="s">
        <v>1306</v>
      </c>
      <c r="Y240" s="1" t="s">
        <v>44</v>
      </c>
      <c r="Z240" s="1" t="b">
        <v>1</v>
      </c>
      <c r="AA240" s="1"/>
      <c r="AB240" s="1" t="s">
        <v>45</v>
      </c>
      <c r="AC240" s="1"/>
    </row>
    <row r="241" spans="1:29" x14ac:dyDescent="0.35">
      <c r="A241" s="2" t="s">
        <v>27</v>
      </c>
      <c r="B241" s="2" t="s">
        <v>28</v>
      </c>
      <c r="C241" s="2" t="s">
        <v>29</v>
      </c>
      <c r="D241" s="2" t="s">
        <v>30</v>
      </c>
      <c r="E241" s="2" t="s">
        <v>31</v>
      </c>
      <c r="F241" s="2" t="s">
        <v>1103</v>
      </c>
      <c r="G241" s="2" t="s">
        <v>1103</v>
      </c>
      <c r="H241" s="2" t="s">
        <v>54</v>
      </c>
      <c r="I241" s="2" t="s">
        <v>86</v>
      </c>
      <c r="J241" s="2" t="s">
        <v>139</v>
      </c>
      <c r="K241" s="2" t="s">
        <v>1307</v>
      </c>
      <c r="L241" s="2" t="s">
        <v>141</v>
      </c>
      <c r="M241" t="s">
        <v>814</v>
      </c>
      <c r="N241" t="s">
        <v>618</v>
      </c>
      <c r="O241" t="s">
        <v>814</v>
      </c>
      <c r="P241" t="s">
        <v>815</v>
      </c>
      <c r="Q241" s="2" t="s">
        <v>61</v>
      </c>
      <c r="R241" s="2" t="s">
        <v>1310</v>
      </c>
      <c r="S241" s="2" t="s">
        <v>63</v>
      </c>
      <c r="T241" s="2" t="s">
        <v>63</v>
      </c>
      <c r="U241" s="2" t="s">
        <v>40</v>
      </c>
      <c r="V241" s="2" t="s">
        <v>41</v>
      </c>
      <c r="W241" s="2" t="s">
        <v>1311</v>
      </c>
      <c r="X241" s="2" t="s">
        <v>1312</v>
      </c>
      <c r="Y241" s="2" t="s">
        <v>44</v>
      </c>
      <c r="Z241" s="2" t="b">
        <v>1</v>
      </c>
      <c r="AA241" s="2"/>
      <c r="AB241" s="2" t="s">
        <v>45</v>
      </c>
      <c r="AC241" s="2"/>
    </row>
    <row r="242" spans="1:29" x14ac:dyDescent="0.35">
      <c r="A242" s="1" t="s">
        <v>27</v>
      </c>
      <c r="B242" s="1" t="s">
        <v>28</v>
      </c>
      <c r="C242" s="1" t="s">
        <v>29</v>
      </c>
      <c r="D242" s="1" t="s">
        <v>30</v>
      </c>
      <c r="E242" s="1" t="s">
        <v>31</v>
      </c>
      <c r="F242" s="1" t="s">
        <v>1103</v>
      </c>
      <c r="G242" s="1" t="s">
        <v>1103</v>
      </c>
      <c r="H242" s="1" t="s">
        <v>54</v>
      </c>
      <c r="I242" s="1" t="s">
        <v>86</v>
      </c>
      <c r="J242" s="1" t="s">
        <v>139</v>
      </c>
      <c r="K242" s="1" t="s">
        <v>1313</v>
      </c>
      <c r="L242" s="1" t="s">
        <v>141</v>
      </c>
      <c r="M242" t="s">
        <v>819</v>
      </c>
      <c r="N242" t="s">
        <v>618</v>
      </c>
      <c r="O242" t="s">
        <v>819</v>
      </c>
      <c r="P242" t="s">
        <v>820</v>
      </c>
      <c r="Q242" s="1" t="s">
        <v>61</v>
      </c>
      <c r="R242" s="1" t="s">
        <v>1310</v>
      </c>
      <c r="S242" s="1" t="s">
        <v>63</v>
      </c>
      <c r="T242" s="1" t="s">
        <v>63</v>
      </c>
      <c r="U242" s="1" t="s">
        <v>40</v>
      </c>
      <c r="V242" s="1" t="s">
        <v>41</v>
      </c>
      <c r="W242" s="1" t="s">
        <v>1316</v>
      </c>
      <c r="X242" s="1" t="s">
        <v>1317</v>
      </c>
      <c r="Y242" s="1" t="s">
        <v>44</v>
      </c>
      <c r="Z242" s="1" t="b">
        <v>1</v>
      </c>
      <c r="AA242" s="1"/>
      <c r="AB242" s="1" t="s">
        <v>45</v>
      </c>
      <c r="AC242" s="1"/>
    </row>
    <row r="243" spans="1:29" x14ac:dyDescent="0.35">
      <c r="A243" s="2" t="s">
        <v>27</v>
      </c>
      <c r="B243" s="2" t="s">
        <v>28</v>
      </c>
      <c r="C243" s="2" t="s">
        <v>29</v>
      </c>
      <c r="D243" s="2" t="s">
        <v>30</v>
      </c>
      <c r="E243" s="2" t="s">
        <v>31</v>
      </c>
      <c r="F243" s="2" t="s">
        <v>1103</v>
      </c>
      <c r="G243" s="2" t="s">
        <v>1103</v>
      </c>
      <c r="H243" s="2" t="s">
        <v>54</v>
      </c>
      <c r="I243" s="2" t="s">
        <v>86</v>
      </c>
      <c r="J243" s="2" t="s">
        <v>139</v>
      </c>
      <c r="K243" s="2" t="s">
        <v>1318</v>
      </c>
      <c r="L243" s="2" t="s">
        <v>141</v>
      </c>
      <c r="M243" t="s">
        <v>823</v>
      </c>
      <c r="N243" t="s">
        <v>618</v>
      </c>
      <c r="O243" t="s">
        <v>823</v>
      </c>
      <c r="P243" t="s">
        <v>824</v>
      </c>
      <c r="Q243" s="2" t="s">
        <v>61</v>
      </c>
      <c r="R243" s="2" t="s">
        <v>1310</v>
      </c>
      <c r="S243" s="2" t="s">
        <v>63</v>
      </c>
      <c r="T243" s="2" t="s">
        <v>63</v>
      </c>
      <c r="U243" s="2" t="s">
        <v>40</v>
      </c>
      <c r="V243" s="2" t="s">
        <v>41</v>
      </c>
      <c r="W243" s="2" t="s">
        <v>1321</v>
      </c>
      <c r="X243" s="2" t="s">
        <v>1322</v>
      </c>
      <c r="Y243" s="2" t="s">
        <v>44</v>
      </c>
      <c r="Z243" s="2" t="b">
        <v>1</v>
      </c>
      <c r="AA243" s="2"/>
      <c r="AB243" s="2" t="s">
        <v>45</v>
      </c>
      <c r="AC243" s="2"/>
    </row>
    <row r="244" spans="1:29" x14ac:dyDescent="0.35">
      <c r="A244" s="1" t="s">
        <v>27</v>
      </c>
      <c r="B244" s="1" t="s">
        <v>28</v>
      </c>
      <c r="C244" s="1" t="s">
        <v>29</v>
      </c>
      <c r="D244" s="1" t="s">
        <v>30</v>
      </c>
      <c r="E244" s="1" t="s">
        <v>31</v>
      </c>
      <c r="F244" s="1" t="s">
        <v>1103</v>
      </c>
      <c r="G244" s="1" t="s">
        <v>1103</v>
      </c>
      <c r="H244" s="1" t="s">
        <v>54</v>
      </c>
      <c r="I244" s="1" t="s">
        <v>86</v>
      </c>
      <c r="J244" s="1" t="s">
        <v>163</v>
      </c>
      <c r="K244" s="1" t="s">
        <v>1323</v>
      </c>
      <c r="L244" s="1" t="s">
        <v>165</v>
      </c>
      <c r="M244" t="s">
        <v>828</v>
      </c>
      <c r="N244" t="s">
        <v>618</v>
      </c>
      <c r="O244" t="s">
        <v>828</v>
      </c>
      <c r="P244" t="s">
        <v>829</v>
      </c>
      <c r="Q244" s="1" t="s">
        <v>61</v>
      </c>
      <c r="R244" s="1" t="s">
        <v>583</v>
      </c>
      <c r="S244" s="1" t="s">
        <v>63</v>
      </c>
      <c r="T244" s="1" t="s">
        <v>63</v>
      </c>
      <c r="U244" s="1" t="s">
        <v>40</v>
      </c>
      <c r="V244" s="1" t="s">
        <v>41</v>
      </c>
      <c r="W244" s="1" t="s">
        <v>1326</v>
      </c>
      <c r="X244" s="1" t="s">
        <v>1327</v>
      </c>
      <c r="Y244" s="1" t="s">
        <v>44</v>
      </c>
      <c r="Z244" s="1" t="b">
        <v>1</v>
      </c>
      <c r="AA244" s="1"/>
      <c r="AB244" s="1" t="s">
        <v>45</v>
      </c>
      <c r="AC244" s="1"/>
    </row>
    <row r="245" spans="1:29" x14ac:dyDescent="0.35">
      <c r="A245" s="2" t="s">
        <v>27</v>
      </c>
      <c r="B245" s="2" t="s">
        <v>28</v>
      </c>
      <c r="C245" s="2" t="s">
        <v>29</v>
      </c>
      <c r="D245" s="2" t="s">
        <v>30</v>
      </c>
      <c r="E245" s="2" t="s">
        <v>31</v>
      </c>
      <c r="F245" s="2" t="s">
        <v>1103</v>
      </c>
      <c r="G245" s="2" t="s">
        <v>1103</v>
      </c>
      <c r="H245" s="2" t="s">
        <v>54</v>
      </c>
      <c r="I245" s="2" t="s">
        <v>86</v>
      </c>
      <c r="J245" s="2" t="s">
        <v>163</v>
      </c>
      <c r="K245" s="2" t="s">
        <v>1328</v>
      </c>
      <c r="L245" s="2" t="s">
        <v>165</v>
      </c>
      <c r="M245" t="s">
        <v>832</v>
      </c>
      <c r="N245" t="s">
        <v>618</v>
      </c>
      <c r="O245" t="s">
        <v>832</v>
      </c>
      <c r="P245" t="s">
        <v>833</v>
      </c>
      <c r="Q245" s="2" t="s">
        <v>61</v>
      </c>
      <c r="R245" s="2" t="s">
        <v>583</v>
      </c>
      <c r="S245" s="2" t="s">
        <v>63</v>
      </c>
      <c r="T245" s="2" t="s">
        <v>63</v>
      </c>
      <c r="U245" s="2" t="s">
        <v>40</v>
      </c>
      <c r="V245" s="2" t="s">
        <v>41</v>
      </c>
      <c r="W245" s="2" t="s">
        <v>1331</v>
      </c>
      <c r="X245" s="2" t="s">
        <v>1332</v>
      </c>
      <c r="Y245" s="2" t="s">
        <v>44</v>
      </c>
      <c r="Z245" s="2" t="b">
        <v>1</v>
      </c>
      <c r="AA245" s="2"/>
      <c r="AB245" s="2" t="s">
        <v>45</v>
      </c>
      <c r="AC245" s="2"/>
    </row>
    <row r="246" spans="1:29" x14ac:dyDescent="0.35">
      <c r="A246" s="1" t="s">
        <v>27</v>
      </c>
      <c r="B246" s="1" t="s">
        <v>28</v>
      </c>
      <c r="C246" s="1" t="s">
        <v>29</v>
      </c>
      <c r="D246" s="1" t="s">
        <v>30</v>
      </c>
      <c r="E246" s="1" t="s">
        <v>31</v>
      </c>
      <c r="F246" s="1" t="s">
        <v>1103</v>
      </c>
      <c r="G246" s="1" t="s">
        <v>1103</v>
      </c>
      <c r="H246" s="1" t="s">
        <v>54</v>
      </c>
      <c r="I246" s="1" t="s">
        <v>86</v>
      </c>
      <c r="J246" s="1" t="s">
        <v>163</v>
      </c>
      <c r="K246" s="1" t="s">
        <v>1333</v>
      </c>
      <c r="L246" s="1" t="s">
        <v>165</v>
      </c>
      <c r="M246" t="s">
        <v>837</v>
      </c>
      <c r="N246" t="s">
        <v>618</v>
      </c>
      <c r="O246" t="s">
        <v>837</v>
      </c>
      <c r="P246" t="s">
        <v>838</v>
      </c>
      <c r="Q246" s="1" t="s">
        <v>61</v>
      </c>
      <c r="R246" s="1" t="s">
        <v>583</v>
      </c>
      <c r="S246" s="1" t="s">
        <v>63</v>
      </c>
      <c r="T246" s="1" t="s">
        <v>63</v>
      </c>
      <c r="U246" s="1" t="s">
        <v>40</v>
      </c>
      <c r="V246" s="1" t="s">
        <v>41</v>
      </c>
      <c r="W246" s="1" t="s">
        <v>1336</v>
      </c>
      <c r="X246" s="1" t="s">
        <v>1337</v>
      </c>
      <c r="Y246" s="1" t="s">
        <v>44</v>
      </c>
      <c r="Z246" s="1" t="b">
        <v>1</v>
      </c>
      <c r="AA246" s="1"/>
      <c r="AB246" s="1" t="s">
        <v>45</v>
      </c>
      <c r="AC246" s="1"/>
    </row>
    <row r="247" spans="1:29" x14ac:dyDescent="0.35">
      <c r="A247" s="2" t="s">
        <v>27</v>
      </c>
      <c r="B247" s="2" t="s">
        <v>28</v>
      </c>
      <c r="C247" s="2" t="s">
        <v>29</v>
      </c>
      <c r="D247" s="2" t="s">
        <v>30</v>
      </c>
      <c r="E247" s="2" t="s">
        <v>31</v>
      </c>
      <c r="F247" s="2" t="s">
        <v>1103</v>
      </c>
      <c r="G247" s="2" t="s">
        <v>1103</v>
      </c>
      <c r="H247" s="2" t="s">
        <v>54</v>
      </c>
      <c r="I247" s="2" t="s">
        <v>86</v>
      </c>
      <c r="J247" s="2" t="s">
        <v>163</v>
      </c>
      <c r="K247" s="2" t="s">
        <v>1338</v>
      </c>
      <c r="L247" s="2" t="s">
        <v>165</v>
      </c>
      <c r="M247" t="s">
        <v>841</v>
      </c>
      <c r="N247" t="s">
        <v>618</v>
      </c>
      <c r="O247" t="s">
        <v>841</v>
      </c>
      <c r="P247" t="s">
        <v>842</v>
      </c>
      <c r="Q247" s="2" t="s">
        <v>61</v>
      </c>
      <c r="R247" s="2" t="s">
        <v>583</v>
      </c>
      <c r="S247" s="2" t="s">
        <v>63</v>
      </c>
      <c r="T247" s="2" t="s">
        <v>63</v>
      </c>
      <c r="U247" s="2" t="s">
        <v>40</v>
      </c>
      <c r="V247" s="2" t="s">
        <v>41</v>
      </c>
      <c r="W247" s="2" t="s">
        <v>1341</v>
      </c>
      <c r="X247" s="2" t="s">
        <v>1342</v>
      </c>
      <c r="Y247" s="2" t="s">
        <v>44</v>
      </c>
      <c r="Z247" s="2" t="b">
        <v>1</v>
      </c>
      <c r="AA247" s="2"/>
      <c r="AB247" s="2" t="s">
        <v>45</v>
      </c>
      <c r="AC247" s="2"/>
    </row>
    <row r="248" spans="1:29" x14ac:dyDescent="0.35">
      <c r="A248" s="1" t="s">
        <v>27</v>
      </c>
      <c r="B248" s="1" t="s">
        <v>28</v>
      </c>
      <c r="C248" s="1" t="s">
        <v>29</v>
      </c>
      <c r="D248" s="1" t="s">
        <v>30</v>
      </c>
      <c r="E248" s="1" t="s">
        <v>31</v>
      </c>
      <c r="F248" s="1" t="s">
        <v>1103</v>
      </c>
      <c r="G248" s="1" t="s">
        <v>1103</v>
      </c>
      <c r="H248" s="1" t="s">
        <v>54</v>
      </c>
      <c r="I248" s="1" t="s">
        <v>86</v>
      </c>
      <c r="J248" s="1" t="s">
        <v>163</v>
      </c>
      <c r="K248" s="1" t="s">
        <v>1343</v>
      </c>
      <c r="L248" s="1" t="s">
        <v>165</v>
      </c>
      <c r="M248" t="s">
        <v>846</v>
      </c>
      <c r="N248" t="s">
        <v>618</v>
      </c>
      <c r="O248" t="s">
        <v>846</v>
      </c>
      <c r="P248" t="s">
        <v>847</v>
      </c>
      <c r="Q248" s="1" t="s">
        <v>61</v>
      </c>
      <c r="R248" s="1" t="s">
        <v>583</v>
      </c>
      <c r="S248" s="1" t="s">
        <v>63</v>
      </c>
      <c r="T248" s="1" t="s">
        <v>63</v>
      </c>
      <c r="U248" s="1" t="s">
        <v>40</v>
      </c>
      <c r="V248" s="1" t="s">
        <v>41</v>
      </c>
      <c r="W248" s="1" t="s">
        <v>1346</v>
      </c>
      <c r="X248" s="1" t="s">
        <v>1347</v>
      </c>
      <c r="Y248" s="1" t="s">
        <v>44</v>
      </c>
      <c r="Z248" s="1" t="b">
        <v>1</v>
      </c>
      <c r="AA248" s="1"/>
      <c r="AB248" s="1" t="s">
        <v>45</v>
      </c>
      <c r="AC248" s="1"/>
    </row>
    <row r="249" spans="1:29" x14ac:dyDescent="0.35">
      <c r="A249" s="2" t="s">
        <v>27</v>
      </c>
      <c r="B249" s="2" t="s">
        <v>28</v>
      </c>
      <c r="C249" s="2" t="s">
        <v>29</v>
      </c>
      <c r="D249" s="2" t="s">
        <v>30</v>
      </c>
      <c r="E249" s="2" t="s">
        <v>31</v>
      </c>
      <c r="F249" s="2" t="s">
        <v>1103</v>
      </c>
      <c r="G249" s="2" t="s">
        <v>1103</v>
      </c>
      <c r="H249" s="2" t="s">
        <v>54</v>
      </c>
      <c r="I249" s="2" t="s">
        <v>86</v>
      </c>
      <c r="J249" s="2" t="s">
        <v>163</v>
      </c>
      <c r="K249" s="2" t="s">
        <v>1348</v>
      </c>
      <c r="L249" s="2" t="s">
        <v>165</v>
      </c>
      <c r="M249" t="s">
        <v>850</v>
      </c>
      <c r="N249" t="s">
        <v>618</v>
      </c>
      <c r="O249" t="s">
        <v>850</v>
      </c>
      <c r="P249" t="s">
        <v>851</v>
      </c>
      <c r="Q249" s="2" t="s">
        <v>61</v>
      </c>
      <c r="R249" s="2" t="s">
        <v>583</v>
      </c>
      <c r="S249" s="2" t="s">
        <v>63</v>
      </c>
      <c r="T249" s="2" t="s">
        <v>63</v>
      </c>
      <c r="U249" s="2" t="s">
        <v>40</v>
      </c>
      <c r="V249" s="2" t="s">
        <v>41</v>
      </c>
      <c r="W249" s="2" t="s">
        <v>1351</v>
      </c>
      <c r="X249" s="2" t="s">
        <v>1352</v>
      </c>
      <c r="Y249" s="2" t="s">
        <v>44</v>
      </c>
      <c r="Z249" s="2" t="b">
        <v>1</v>
      </c>
      <c r="AA249" s="2"/>
      <c r="AB249" s="2" t="s">
        <v>45</v>
      </c>
      <c r="AC249" s="2"/>
    </row>
    <row r="250" spans="1:29" x14ac:dyDescent="0.35">
      <c r="A250" s="1" t="s">
        <v>27</v>
      </c>
      <c r="B250" s="1" t="s">
        <v>28</v>
      </c>
      <c r="C250" s="1" t="s">
        <v>29</v>
      </c>
      <c r="D250" s="1" t="s">
        <v>30</v>
      </c>
      <c r="E250" s="1" t="s">
        <v>31</v>
      </c>
      <c r="F250" s="1" t="s">
        <v>1103</v>
      </c>
      <c r="G250" s="1" t="s">
        <v>1103</v>
      </c>
      <c r="H250" s="1" t="s">
        <v>54</v>
      </c>
      <c r="I250" s="1" t="s">
        <v>86</v>
      </c>
      <c r="J250" s="1" t="s">
        <v>163</v>
      </c>
      <c r="K250" s="1" t="s">
        <v>1353</v>
      </c>
      <c r="L250" s="1" t="s">
        <v>165</v>
      </c>
      <c r="M250" t="s">
        <v>855</v>
      </c>
      <c r="N250" t="s">
        <v>618</v>
      </c>
      <c r="O250" t="s">
        <v>855</v>
      </c>
      <c r="P250" t="s">
        <v>856</v>
      </c>
      <c r="Q250" s="1" t="s">
        <v>61</v>
      </c>
      <c r="R250" s="1" t="s">
        <v>583</v>
      </c>
      <c r="S250" s="1" t="s">
        <v>63</v>
      </c>
      <c r="T250" s="1" t="s">
        <v>63</v>
      </c>
      <c r="U250" s="1" t="s">
        <v>40</v>
      </c>
      <c r="V250" s="1" t="s">
        <v>41</v>
      </c>
      <c r="W250" s="1" t="s">
        <v>1356</v>
      </c>
      <c r="X250" s="1" t="s">
        <v>1357</v>
      </c>
      <c r="Y250" s="1" t="s">
        <v>44</v>
      </c>
      <c r="Z250" s="1" t="b">
        <v>1</v>
      </c>
      <c r="AA250" s="1"/>
      <c r="AB250" s="1" t="s">
        <v>45</v>
      </c>
      <c r="AC250" s="1"/>
    </row>
    <row r="251" spans="1:29" x14ac:dyDescent="0.35">
      <c r="A251" s="2" t="s">
        <v>27</v>
      </c>
      <c r="B251" s="2" t="s">
        <v>28</v>
      </c>
      <c r="C251" s="2" t="s">
        <v>29</v>
      </c>
      <c r="D251" s="2" t="s">
        <v>30</v>
      </c>
      <c r="E251" s="2" t="s">
        <v>31</v>
      </c>
      <c r="F251" s="2" t="s">
        <v>1103</v>
      </c>
      <c r="G251" s="2" t="s">
        <v>1103</v>
      </c>
      <c r="H251" s="2" t="s">
        <v>54</v>
      </c>
      <c r="I251" s="2" t="s">
        <v>86</v>
      </c>
      <c r="J251" s="2" t="s">
        <v>163</v>
      </c>
      <c r="K251" s="2" t="s">
        <v>1358</v>
      </c>
      <c r="L251" s="2" t="s">
        <v>165</v>
      </c>
      <c r="M251" t="s">
        <v>861</v>
      </c>
      <c r="N251" t="s">
        <v>618</v>
      </c>
      <c r="O251" t="s">
        <v>861</v>
      </c>
      <c r="P251" t="s">
        <v>862</v>
      </c>
      <c r="Q251" s="2" t="s">
        <v>61</v>
      </c>
      <c r="R251" s="2" t="s">
        <v>583</v>
      </c>
      <c r="S251" s="2" t="s">
        <v>63</v>
      </c>
      <c r="T251" s="2" t="s">
        <v>63</v>
      </c>
      <c r="U251" s="2" t="s">
        <v>40</v>
      </c>
      <c r="V251" s="2" t="s">
        <v>41</v>
      </c>
      <c r="W251" s="2" t="s">
        <v>1361</v>
      </c>
      <c r="X251" s="2" t="s">
        <v>1362</v>
      </c>
      <c r="Y251" s="2" t="s">
        <v>44</v>
      </c>
      <c r="Z251" s="2" t="b">
        <v>1</v>
      </c>
      <c r="AA251" s="2"/>
      <c r="AB251" s="2" t="s">
        <v>45</v>
      </c>
      <c r="AC251" s="2"/>
    </row>
    <row r="252" spans="1:29" x14ac:dyDescent="0.35">
      <c r="A252" s="1" t="s">
        <v>27</v>
      </c>
      <c r="B252" s="1" t="s">
        <v>28</v>
      </c>
      <c r="C252" s="1" t="s">
        <v>29</v>
      </c>
      <c r="D252" s="1" t="s">
        <v>30</v>
      </c>
      <c r="E252" s="1" t="s">
        <v>31</v>
      </c>
      <c r="F252" s="1" t="s">
        <v>1103</v>
      </c>
      <c r="G252" s="1" t="s">
        <v>1103</v>
      </c>
      <c r="H252" s="1" t="s">
        <v>54</v>
      </c>
      <c r="I252" s="1" t="s">
        <v>86</v>
      </c>
      <c r="J252" s="1" t="s">
        <v>163</v>
      </c>
      <c r="K252" s="1" t="s">
        <v>1363</v>
      </c>
      <c r="L252" s="1" t="s">
        <v>165</v>
      </c>
      <c r="M252" t="s">
        <v>866</v>
      </c>
      <c r="N252" t="s">
        <v>618</v>
      </c>
      <c r="O252" t="s">
        <v>866</v>
      </c>
      <c r="P252" t="s">
        <v>867</v>
      </c>
      <c r="Q252" s="1" t="s">
        <v>61</v>
      </c>
      <c r="R252" s="1" t="s">
        <v>583</v>
      </c>
      <c r="S252" s="1" t="s">
        <v>63</v>
      </c>
      <c r="T252" s="1" t="s">
        <v>63</v>
      </c>
      <c r="U252" s="1" t="s">
        <v>40</v>
      </c>
      <c r="V252" s="1" t="s">
        <v>41</v>
      </c>
      <c r="W252" s="1" t="s">
        <v>1366</v>
      </c>
      <c r="X252" s="1" t="s">
        <v>1367</v>
      </c>
      <c r="Y252" s="1" t="s">
        <v>44</v>
      </c>
      <c r="Z252" s="1" t="b">
        <v>1</v>
      </c>
      <c r="AA252" s="1"/>
      <c r="AB252" s="1" t="s">
        <v>45</v>
      </c>
      <c r="AC252" s="1"/>
    </row>
    <row r="253" spans="1:29" x14ac:dyDescent="0.35">
      <c r="A253" s="2" t="s">
        <v>27</v>
      </c>
      <c r="B253" s="2" t="s">
        <v>28</v>
      </c>
      <c r="C253" s="2" t="s">
        <v>29</v>
      </c>
      <c r="D253" s="2" t="s">
        <v>30</v>
      </c>
      <c r="E253" s="2" t="s">
        <v>31</v>
      </c>
      <c r="F253" s="2" t="s">
        <v>1103</v>
      </c>
      <c r="G253" s="2" t="s">
        <v>1103</v>
      </c>
      <c r="H253" s="2" t="s">
        <v>54</v>
      </c>
      <c r="I253" s="2" t="s">
        <v>86</v>
      </c>
      <c r="J253" s="2" t="s">
        <v>163</v>
      </c>
      <c r="K253" s="2" t="s">
        <v>1368</v>
      </c>
      <c r="L253" s="2" t="s">
        <v>165</v>
      </c>
      <c r="M253" t="s">
        <v>871</v>
      </c>
      <c r="N253" t="s">
        <v>618</v>
      </c>
      <c r="O253" t="s">
        <v>871</v>
      </c>
      <c r="P253" t="s">
        <v>872</v>
      </c>
      <c r="Q253" s="2" t="s">
        <v>61</v>
      </c>
      <c r="R253" s="2" t="s">
        <v>583</v>
      </c>
      <c r="S253" s="2" t="s">
        <v>63</v>
      </c>
      <c r="T253" s="2" t="s">
        <v>63</v>
      </c>
      <c r="U253" s="2" t="s">
        <v>40</v>
      </c>
      <c r="V253" s="2" t="s">
        <v>41</v>
      </c>
      <c r="W253" s="2" t="s">
        <v>1371</v>
      </c>
      <c r="X253" s="2" t="s">
        <v>1372</v>
      </c>
      <c r="Y253" s="2" t="s">
        <v>44</v>
      </c>
      <c r="Z253" s="2" t="b">
        <v>1</v>
      </c>
      <c r="AA253" s="2"/>
      <c r="AB253" s="2" t="s">
        <v>45</v>
      </c>
      <c r="AC253" s="2"/>
    </row>
    <row r="254" spans="1:29" x14ac:dyDescent="0.35">
      <c r="A254" s="1" t="s">
        <v>27</v>
      </c>
      <c r="B254" s="1" t="s">
        <v>28</v>
      </c>
      <c r="C254" s="1" t="s">
        <v>29</v>
      </c>
      <c r="D254" s="1" t="s">
        <v>30</v>
      </c>
      <c r="E254" s="1" t="s">
        <v>31</v>
      </c>
      <c r="F254" s="1" t="s">
        <v>1103</v>
      </c>
      <c r="G254" s="1" t="s">
        <v>1103</v>
      </c>
      <c r="H254" s="1" t="s">
        <v>54</v>
      </c>
      <c r="I254" s="1" t="s">
        <v>86</v>
      </c>
      <c r="J254" s="1" t="s">
        <v>163</v>
      </c>
      <c r="K254" s="1" t="s">
        <v>1373</v>
      </c>
      <c r="L254" s="1" t="s">
        <v>165</v>
      </c>
      <c r="M254" t="s">
        <v>876</v>
      </c>
      <c r="N254" t="s">
        <v>618</v>
      </c>
      <c r="O254" t="s">
        <v>876</v>
      </c>
      <c r="P254" t="s">
        <v>877</v>
      </c>
      <c r="Q254" s="1" t="s">
        <v>61</v>
      </c>
      <c r="R254" s="1" t="s">
        <v>583</v>
      </c>
      <c r="S254" s="1" t="s">
        <v>63</v>
      </c>
      <c r="T254" s="1" t="s">
        <v>63</v>
      </c>
      <c r="U254" s="1" t="s">
        <v>40</v>
      </c>
      <c r="V254" s="1" t="s">
        <v>41</v>
      </c>
      <c r="W254" s="1" t="s">
        <v>1376</v>
      </c>
      <c r="X254" s="1" t="s">
        <v>1377</v>
      </c>
      <c r="Y254" s="1" t="s">
        <v>44</v>
      </c>
      <c r="Z254" s="1" t="b">
        <v>1</v>
      </c>
      <c r="AA254" s="1"/>
      <c r="AB254" s="1" t="s">
        <v>45</v>
      </c>
      <c r="AC254" s="1"/>
    </row>
    <row r="255" spans="1:29" x14ac:dyDescent="0.35">
      <c r="A255" s="2" t="s">
        <v>27</v>
      </c>
      <c r="B255" s="2" t="s">
        <v>28</v>
      </c>
      <c r="C255" s="2" t="s">
        <v>29</v>
      </c>
      <c r="D255" s="2" t="s">
        <v>30</v>
      </c>
      <c r="E255" s="2" t="s">
        <v>31</v>
      </c>
      <c r="F255" s="2" t="s">
        <v>1103</v>
      </c>
      <c r="G255" s="2" t="s">
        <v>1103</v>
      </c>
      <c r="H255" s="2" t="s">
        <v>54</v>
      </c>
      <c r="I255" s="2" t="s">
        <v>86</v>
      </c>
      <c r="J255" s="2" t="s">
        <v>163</v>
      </c>
      <c r="K255" s="2" t="s">
        <v>1378</v>
      </c>
      <c r="L255" s="2" t="s">
        <v>165</v>
      </c>
      <c r="M255" t="s">
        <v>882</v>
      </c>
      <c r="N255" t="s">
        <v>618</v>
      </c>
      <c r="O255" t="s">
        <v>882</v>
      </c>
      <c r="P255" t="s">
        <v>883</v>
      </c>
      <c r="Q255" s="2" t="s">
        <v>61</v>
      </c>
      <c r="R255" s="2" t="s">
        <v>583</v>
      </c>
      <c r="S255" s="2" t="s">
        <v>63</v>
      </c>
      <c r="T255" s="2" t="s">
        <v>63</v>
      </c>
      <c r="U255" s="2" t="s">
        <v>40</v>
      </c>
      <c r="V255" s="2" t="s">
        <v>41</v>
      </c>
      <c r="W255" s="2" t="s">
        <v>1381</v>
      </c>
      <c r="X255" s="2" t="s">
        <v>1382</v>
      </c>
      <c r="Y255" s="2" t="s">
        <v>44</v>
      </c>
      <c r="Z255" s="2" t="b">
        <v>1</v>
      </c>
      <c r="AA255" s="2"/>
      <c r="AB255" s="2" t="s">
        <v>45</v>
      </c>
      <c r="AC255" s="2"/>
    </row>
    <row r="256" spans="1:29" x14ac:dyDescent="0.35">
      <c r="A256" s="1" t="s">
        <v>27</v>
      </c>
      <c r="B256" s="1" t="s">
        <v>28</v>
      </c>
      <c r="C256" s="1" t="s">
        <v>29</v>
      </c>
      <c r="D256" s="1" t="s">
        <v>30</v>
      </c>
      <c r="E256" s="1" t="s">
        <v>31</v>
      </c>
      <c r="F256" s="1" t="s">
        <v>1103</v>
      </c>
      <c r="G256" s="1" t="s">
        <v>1103</v>
      </c>
      <c r="H256" s="1" t="s">
        <v>54</v>
      </c>
      <c r="I256" s="1" t="s">
        <v>86</v>
      </c>
      <c r="J256" s="1" t="s">
        <v>163</v>
      </c>
      <c r="K256" s="1" t="s">
        <v>1383</v>
      </c>
      <c r="L256" s="1" t="s">
        <v>165</v>
      </c>
      <c r="M256" t="s">
        <v>887</v>
      </c>
      <c r="N256" t="s">
        <v>618</v>
      </c>
      <c r="O256" t="s">
        <v>887</v>
      </c>
      <c r="P256" t="s">
        <v>888</v>
      </c>
      <c r="Q256" s="1" t="s">
        <v>61</v>
      </c>
      <c r="R256" s="1" t="s">
        <v>583</v>
      </c>
      <c r="S256" s="1" t="s">
        <v>63</v>
      </c>
      <c r="T256" s="1" t="s">
        <v>63</v>
      </c>
      <c r="U256" s="1" t="s">
        <v>40</v>
      </c>
      <c r="V256" s="1" t="s">
        <v>41</v>
      </c>
      <c r="W256" s="1" t="s">
        <v>1386</v>
      </c>
      <c r="X256" s="1" t="s">
        <v>1387</v>
      </c>
      <c r="Y256" s="1" t="s">
        <v>44</v>
      </c>
      <c r="Z256" s="1" t="b">
        <v>1</v>
      </c>
      <c r="AA256" s="1"/>
      <c r="AB256" s="1" t="s">
        <v>45</v>
      </c>
      <c r="AC256" s="1"/>
    </row>
    <row r="257" spans="1:29" x14ac:dyDescent="0.35">
      <c r="A257" s="2" t="s">
        <v>27</v>
      </c>
      <c r="B257" s="2" t="s">
        <v>28</v>
      </c>
      <c r="C257" s="2" t="s">
        <v>29</v>
      </c>
      <c r="D257" s="2" t="s">
        <v>30</v>
      </c>
      <c r="E257" s="2" t="s">
        <v>31</v>
      </c>
      <c r="F257" s="2" t="s">
        <v>1103</v>
      </c>
      <c r="G257" s="2" t="s">
        <v>1103</v>
      </c>
      <c r="H257" s="2" t="s">
        <v>54</v>
      </c>
      <c r="I257" s="2" t="s">
        <v>86</v>
      </c>
      <c r="J257" s="2" t="s">
        <v>163</v>
      </c>
      <c r="K257" s="2" t="s">
        <v>1388</v>
      </c>
      <c r="L257" s="2" t="s">
        <v>1389</v>
      </c>
      <c r="M257" t="s">
        <v>892</v>
      </c>
      <c r="N257" t="s">
        <v>618</v>
      </c>
      <c r="O257" t="s">
        <v>892</v>
      </c>
      <c r="P257" t="s">
        <v>893</v>
      </c>
      <c r="Q257" s="2" t="s">
        <v>61</v>
      </c>
      <c r="R257" s="2" t="s">
        <v>136</v>
      </c>
      <c r="S257" s="2" t="s">
        <v>63</v>
      </c>
      <c r="T257" s="2" t="s">
        <v>63</v>
      </c>
      <c r="U257" s="2" t="s">
        <v>40</v>
      </c>
      <c r="V257" s="2" t="s">
        <v>41</v>
      </c>
      <c r="W257" s="2" t="s">
        <v>1392</v>
      </c>
      <c r="X257" s="2" t="s">
        <v>1393</v>
      </c>
      <c r="Y257" s="2" t="s">
        <v>44</v>
      </c>
      <c r="Z257" s="2" t="b">
        <v>1</v>
      </c>
      <c r="AA257" s="2"/>
      <c r="AB257" s="2" t="s">
        <v>45</v>
      </c>
      <c r="AC257" s="2"/>
    </row>
    <row r="258" spans="1:29" x14ac:dyDescent="0.35">
      <c r="A258" s="1" t="s">
        <v>27</v>
      </c>
      <c r="B258" s="1" t="s">
        <v>28</v>
      </c>
      <c r="C258" s="1" t="s">
        <v>29</v>
      </c>
      <c r="D258" s="1" t="s">
        <v>30</v>
      </c>
      <c r="E258" s="1" t="s">
        <v>31</v>
      </c>
      <c r="F258" s="1" t="s">
        <v>1103</v>
      </c>
      <c r="G258" s="1" t="s">
        <v>1103</v>
      </c>
      <c r="H258" s="1" t="s">
        <v>54</v>
      </c>
      <c r="I258" s="1" t="s">
        <v>86</v>
      </c>
      <c r="J258" s="1" t="s">
        <v>191</v>
      </c>
      <c r="K258" s="1" t="s">
        <v>1394</v>
      </c>
      <c r="L258" s="1" t="s">
        <v>199</v>
      </c>
      <c r="M258" t="s">
        <v>897</v>
      </c>
      <c r="N258" t="s">
        <v>618</v>
      </c>
      <c r="O258" t="s">
        <v>897</v>
      </c>
      <c r="P258" t="s">
        <v>898</v>
      </c>
      <c r="Q258" s="1" t="s">
        <v>61</v>
      </c>
      <c r="R258" s="1" t="s">
        <v>1397</v>
      </c>
      <c r="S258" s="1" t="s">
        <v>63</v>
      </c>
      <c r="T258" s="1" t="s">
        <v>63</v>
      </c>
      <c r="U258" s="1" t="s">
        <v>40</v>
      </c>
      <c r="V258" s="1" t="s">
        <v>41</v>
      </c>
      <c r="W258" s="1" t="s">
        <v>1398</v>
      </c>
      <c r="X258" s="1" t="s">
        <v>1399</v>
      </c>
      <c r="Y258" s="1" t="s">
        <v>44</v>
      </c>
      <c r="Z258" s="1" t="b">
        <v>1</v>
      </c>
      <c r="AA258" s="1"/>
      <c r="AB258" s="1" t="s">
        <v>45</v>
      </c>
      <c r="AC258" s="1"/>
    </row>
    <row r="259" spans="1:29" x14ac:dyDescent="0.35">
      <c r="A259" s="2" t="s">
        <v>27</v>
      </c>
      <c r="B259" s="2" t="s">
        <v>28</v>
      </c>
      <c r="C259" s="2" t="s">
        <v>29</v>
      </c>
      <c r="D259" s="2" t="s">
        <v>30</v>
      </c>
      <c r="E259" s="2" t="s">
        <v>31</v>
      </c>
      <c r="F259" s="2" t="s">
        <v>1103</v>
      </c>
      <c r="G259" s="2" t="s">
        <v>1103</v>
      </c>
      <c r="H259" s="2" t="s">
        <v>54</v>
      </c>
      <c r="I259" s="2" t="s">
        <v>86</v>
      </c>
      <c r="J259" s="2" t="s">
        <v>191</v>
      </c>
      <c r="K259" s="2" t="s">
        <v>1394</v>
      </c>
      <c r="L259" s="2" t="s">
        <v>193</v>
      </c>
      <c r="M259" t="s">
        <v>902</v>
      </c>
      <c r="N259" t="s">
        <v>618</v>
      </c>
      <c r="O259" t="s">
        <v>902</v>
      </c>
      <c r="P259" t="s">
        <v>903</v>
      </c>
      <c r="Q259" s="2" t="s">
        <v>61</v>
      </c>
      <c r="R259" s="2" t="s">
        <v>531</v>
      </c>
      <c r="S259" s="2" t="s">
        <v>63</v>
      </c>
      <c r="T259" s="2" t="s">
        <v>63</v>
      </c>
      <c r="U259" s="2" t="s">
        <v>40</v>
      </c>
      <c r="V259" s="2" t="s">
        <v>41</v>
      </c>
      <c r="W259" s="2" t="s">
        <v>1402</v>
      </c>
      <c r="X259" s="2" t="s">
        <v>1403</v>
      </c>
      <c r="Y259" s="2" t="s">
        <v>44</v>
      </c>
      <c r="Z259" s="2" t="b">
        <v>1</v>
      </c>
      <c r="AA259" s="2"/>
      <c r="AB259" s="2" t="s">
        <v>45</v>
      </c>
      <c r="AC259" s="2"/>
    </row>
    <row r="260" spans="1:29" x14ac:dyDescent="0.35">
      <c r="A260" s="1" t="s">
        <v>27</v>
      </c>
      <c r="B260" s="1" t="s">
        <v>28</v>
      </c>
      <c r="C260" s="1" t="s">
        <v>29</v>
      </c>
      <c r="D260" s="1" t="s">
        <v>30</v>
      </c>
      <c r="E260" s="1" t="s">
        <v>31</v>
      </c>
      <c r="F260" s="1" t="s">
        <v>1103</v>
      </c>
      <c r="G260" s="1" t="s">
        <v>1103</v>
      </c>
      <c r="H260" s="1" t="s">
        <v>54</v>
      </c>
      <c r="I260" s="1" t="s">
        <v>55</v>
      </c>
      <c r="J260" s="1" t="s">
        <v>212</v>
      </c>
      <c r="K260" s="1" t="s">
        <v>1404</v>
      </c>
      <c r="L260" s="1" t="s">
        <v>214</v>
      </c>
      <c r="M260" t="s">
        <v>907</v>
      </c>
      <c r="N260" t="s">
        <v>618</v>
      </c>
      <c r="O260" t="s">
        <v>907</v>
      </c>
      <c r="P260" t="s">
        <v>908</v>
      </c>
      <c r="Q260" s="1" t="s">
        <v>1407</v>
      </c>
      <c r="R260" s="1" t="s">
        <v>136</v>
      </c>
      <c r="S260" s="1" t="s">
        <v>63</v>
      </c>
      <c r="T260" s="1" t="s">
        <v>63</v>
      </c>
      <c r="U260" s="1" t="s">
        <v>40</v>
      </c>
      <c r="V260" s="1" t="s">
        <v>41</v>
      </c>
      <c r="W260" s="1" t="s">
        <v>1408</v>
      </c>
      <c r="X260" s="1" t="s">
        <v>1409</v>
      </c>
      <c r="Y260" s="1" t="s">
        <v>44</v>
      </c>
      <c r="Z260" s="1" t="b">
        <v>1</v>
      </c>
      <c r="AA260" s="1"/>
      <c r="AB260" s="1" t="s">
        <v>45</v>
      </c>
      <c r="AC260" s="1"/>
    </row>
    <row r="261" spans="1:29" x14ac:dyDescent="0.35">
      <c r="A261" s="2" t="s">
        <v>27</v>
      </c>
      <c r="B261" s="2" t="s">
        <v>28</v>
      </c>
      <c r="C261" s="2" t="s">
        <v>29</v>
      </c>
      <c r="D261" s="2" t="s">
        <v>30</v>
      </c>
      <c r="E261" s="2" t="s">
        <v>31</v>
      </c>
      <c r="F261" s="2" t="s">
        <v>1103</v>
      </c>
      <c r="G261" s="2" t="s">
        <v>1103</v>
      </c>
      <c r="H261" s="2" t="s">
        <v>54</v>
      </c>
      <c r="I261" s="2" t="s">
        <v>86</v>
      </c>
      <c r="J261" s="2" t="s">
        <v>212</v>
      </c>
      <c r="K261" s="2" t="s">
        <v>1410</v>
      </c>
      <c r="L261" s="2" t="s">
        <v>214</v>
      </c>
      <c r="M261" t="s">
        <v>912</v>
      </c>
      <c r="N261" t="s">
        <v>618</v>
      </c>
      <c r="O261" t="s">
        <v>912</v>
      </c>
      <c r="P261" t="s">
        <v>913</v>
      </c>
      <c r="Q261" s="2" t="s">
        <v>857</v>
      </c>
      <c r="R261" s="2" t="s">
        <v>61</v>
      </c>
      <c r="S261" s="2" t="s">
        <v>63</v>
      </c>
      <c r="T261" s="2" t="s">
        <v>63</v>
      </c>
      <c r="U261" s="2" t="s">
        <v>40</v>
      </c>
      <c r="V261" s="2" t="s">
        <v>41</v>
      </c>
      <c r="W261" s="2" t="s">
        <v>1413</v>
      </c>
      <c r="X261" s="2" t="s">
        <v>1414</v>
      </c>
      <c r="Y261" s="2" t="s">
        <v>44</v>
      </c>
      <c r="Z261" s="2" t="b">
        <v>1</v>
      </c>
      <c r="AA261" s="2"/>
      <c r="AB261" s="2" t="s">
        <v>45</v>
      </c>
      <c r="AC261" s="2"/>
    </row>
    <row r="262" spans="1:29" x14ac:dyDescent="0.35">
      <c r="A262" s="1" t="s">
        <v>27</v>
      </c>
      <c r="B262" s="1" t="s">
        <v>28</v>
      </c>
      <c r="C262" s="1" t="s">
        <v>29</v>
      </c>
      <c r="D262" s="1" t="s">
        <v>30</v>
      </c>
      <c r="E262" s="1" t="s">
        <v>31</v>
      </c>
      <c r="F262" s="1" t="s">
        <v>1103</v>
      </c>
      <c r="G262" s="1" t="s">
        <v>1103</v>
      </c>
      <c r="H262" s="1" t="s">
        <v>54</v>
      </c>
      <c r="I262" s="1" t="s">
        <v>86</v>
      </c>
      <c r="J262" s="1" t="s">
        <v>212</v>
      </c>
      <c r="K262" s="1" t="s">
        <v>1415</v>
      </c>
      <c r="L262" s="1" t="s">
        <v>214</v>
      </c>
      <c r="M262" t="s">
        <v>918</v>
      </c>
      <c r="N262" t="s">
        <v>618</v>
      </c>
      <c r="O262" t="s">
        <v>918</v>
      </c>
      <c r="P262" t="s">
        <v>919</v>
      </c>
      <c r="Q262" s="1" t="s">
        <v>1418</v>
      </c>
      <c r="R262" s="1" t="s">
        <v>61</v>
      </c>
      <c r="S262" s="1" t="s">
        <v>63</v>
      </c>
      <c r="T262" s="1" t="s">
        <v>63</v>
      </c>
      <c r="U262" s="1" t="s">
        <v>40</v>
      </c>
      <c r="V262" s="1" t="s">
        <v>41</v>
      </c>
      <c r="W262" s="1" t="s">
        <v>1419</v>
      </c>
      <c r="X262" s="1" t="s">
        <v>1420</v>
      </c>
      <c r="Y262" s="1" t="s">
        <v>44</v>
      </c>
      <c r="Z262" s="1" t="b">
        <v>1</v>
      </c>
      <c r="AA262" s="1"/>
      <c r="AB262" s="1" t="s">
        <v>45</v>
      </c>
      <c r="AC262" s="1"/>
    </row>
    <row r="263" spans="1:29" x14ac:dyDescent="0.35">
      <c r="A263" s="2" t="s">
        <v>27</v>
      </c>
      <c r="B263" s="2" t="s">
        <v>28</v>
      </c>
      <c r="C263" s="2" t="s">
        <v>29</v>
      </c>
      <c r="D263" s="2" t="s">
        <v>30</v>
      </c>
      <c r="E263" s="2" t="s">
        <v>31</v>
      </c>
      <c r="F263" s="2" t="s">
        <v>1103</v>
      </c>
      <c r="G263" s="2" t="s">
        <v>1103</v>
      </c>
      <c r="H263" s="2" t="s">
        <v>54</v>
      </c>
      <c r="I263" s="2" t="s">
        <v>86</v>
      </c>
      <c r="J263" s="2" t="s">
        <v>212</v>
      </c>
      <c r="K263" s="2" t="s">
        <v>1421</v>
      </c>
      <c r="L263" s="2" t="s">
        <v>214</v>
      </c>
      <c r="M263" t="s">
        <v>923</v>
      </c>
      <c r="N263" t="s">
        <v>618</v>
      </c>
      <c r="O263" t="s">
        <v>923</v>
      </c>
      <c r="P263" t="s">
        <v>924</v>
      </c>
      <c r="Q263" s="2" t="s">
        <v>61</v>
      </c>
      <c r="R263" s="2" t="s">
        <v>1424</v>
      </c>
      <c r="S263" s="2" t="s">
        <v>63</v>
      </c>
      <c r="T263" s="2" t="s">
        <v>63</v>
      </c>
      <c r="U263" s="2" t="s">
        <v>40</v>
      </c>
      <c r="V263" s="2" t="s">
        <v>41</v>
      </c>
      <c r="W263" s="2" t="s">
        <v>1425</v>
      </c>
      <c r="X263" s="2" t="s">
        <v>1426</v>
      </c>
      <c r="Y263" s="2" t="s">
        <v>44</v>
      </c>
      <c r="Z263" s="2" t="b">
        <v>1</v>
      </c>
      <c r="AA263" s="2"/>
      <c r="AB263" s="2" t="s">
        <v>45</v>
      </c>
      <c r="AC263" s="2"/>
    </row>
    <row r="264" spans="1:29" x14ac:dyDescent="0.35">
      <c r="A264" s="1" t="s">
        <v>27</v>
      </c>
      <c r="B264" s="1" t="s">
        <v>28</v>
      </c>
      <c r="C264" s="1" t="s">
        <v>29</v>
      </c>
      <c r="D264" s="1" t="s">
        <v>30</v>
      </c>
      <c r="E264" s="1" t="s">
        <v>31</v>
      </c>
      <c r="F264" s="1" t="s">
        <v>1103</v>
      </c>
      <c r="G264" s="1" t="s">
        <v>1103</v>
      </c>
      <c r="H264" s="1" t="s">
        <v>54</v>
      </c>
      <c r="I264" s="1" t="s">
        <v>86</v>
      </c>
      <c r="J264" s="1" t="s">
        <v>212</v>
      </c>
      <c r="K264" s="1" t="s">
        <v>1427</v>
      </c>
      <c r="L264" s="1" t="s">
        <v>214</v>
      </c>
      <c r="M264" t="s">
        <v>928</v>
      </c>
      <c r="N264" t="s">
        <v>618</v>
      </c>
      <c r="O264" t="s">
        <v>928</v>
      </c>
      <c r="P264" t="s">
        <v>929</v>
      </c>
      <c r="Q264" s="1" t="s">
        <v>61</v>
      </c>
      <c r="R264" s="1" t="s">
        <v>1424</v>
      </c>
      <c r="S264" s="1" t="s">
        <v>63</v>
      </c>
      <c r="T264" s="1" t="s">
        <v>63</v>
      </c>
      <c r="U264" s="1" t="s">
        <v>40</v>
      </c>
      <c r="V264" s="1" t="s">
        <v>41</v>
      </c>
      <c r="W264" s="1" t="s">
        <v>1430</v>
      </c>
      <c r="X264" s="1" t="s">
        <v>1431</v>
      </c>
      <c r="Y264" s="1" t="s">
        <v>44</v>
      </c>
      <c r="Z264" s="1" t="b">
        <v>1</v>
      </c>
      <c r="AA264" s="1"/>
      <c r="AB264" s="1" t="s">
        <v>45</v>
      </c>
      <c r="AC264" s="1"/>
    </row>
    <row r="265" spans="1:29" x14ac:dyDescent="0.35">
      <c r="A265" s="2" t="s">
        <v>27</v>
      </c>
      <c r="B265" s="2" t="s">
        <v>28</v>
      </c>
      <c r="C265" s="2" t="s">
        <v>29</v>
      </c>
      <c r="D265" s="2" t="s">
        <v>30</v>
      </c>
      <c r="E265" s="2" t="s">
        <v>31</v>
      </c>
      <c r="F265" s="2" t="s">
        <v>1103</v>
      </c>
      <c r="G265" s="2" t="s">
        <v>1103</v>
      </c>
      <c r="H265" s="2" t="s">
        <v>54</v>
      </c>
      <c r="I265" s="2" t="s">
        <v>86</v>
      </c>
      <c r="J265" s="2" t="s">
        <v>212</v>
      </c>
      <c r="K265" s="2" t="s">
        <v>1432</v>
      </c>
      <c r="L265" s="2" t="s">
        <v>214</v>
      </c>
      <c r="M265" t="s">
        <v>933</v>
      </c>
      <c r="N265" t="s">
        <v>618</v>
      </c>
      <c r="O265" t="s">
        <v>933</v>
      </c>
      <c r="P265" t="s">
        <v>934</v>
      </c>
      <c r="Q265" s="2" t="s">
        <v>61</v>
      </c>
      <c r="R265" s="2" t="s">
        <v>1424</v>
      </c>
      <c r="S265" s="2" t="s">
        <v>63</v>
      </c>
      <c r="T265" s="2" t="s">
        <v>63</v>
      </c>
      <c r="U265" s="2" t="s">
        <v>40</v>
      </c>
      <c r="V265" s="2" t="s">
        <v>41</v>
      </c>
      <c r="W265" s="2" t="s">
        <v>1435</v>
      </c>
      <c r="X265" s="2" t="s">
        <v>1436</v>
      </c>
      <c r="Y265" s="2" t="s">
        <v>44</v>
      </c>
      <c r="Z265" s="2" t="b">
        <v>1</v>
      </c>
      <c r="AA265" s="2"/>
      <c r="AB265" s="2" t="s">
        <v>45</v>
      </c>
      <c r="AC265" s="2"/>
    </row>
    <row r="266" spans="1:29" x14ac:dyDescent="0.35">
      <c r="A266" s="1" t="s">
        <v>27</v>
      </c>
      <c r="B266" s="1" t="s">
        <v>28</v>
      </c>
      <c r="C266" s="1" t="s">
        <v>29</v>
      </c>
      <c r="D266" s="1" t="s">
        <v>30</v>
      </c>
      <c r="E266" s="1" t="s">
        <v>31</v>
      </c>
      <c r="F266" s="1" t="s">
        <v>1103</v>
      </c>
      <c r="G266" s="1" t="s">
        <v>1103</v>
      </c>
      <c r="H266" s="1" t="s">
        <v>54</v>
      </c>
      <c r="I266" s="1" t="s">
        <v>86</v>
      </c>
      <c r="J266" s="1" t="s">
        <v>212</v>
      </c>
      <c r="K266" s="1" t="s">
        <v>1437</v>
      </c>
      <c r="L266" s="1" t="s">
        <v>214</v>
      </c>
      <c r="M266" t="s">
        <v>938</v>
      </c>
      <c r="N266" t="s">
        <v>618</v>
      </c>
      <c r="O266" t="s">
        <v>938</v>
      </c>
      <c r="P266" t="s">
        <v>939</v>
      </c>
      <c r="Q266" s="1" t="s">
        <v>61</v>
      </c>
      <c r="R266" s="1" t="s">
        <v>1424</v>
      </c>
      <c r="S266" s="1" t="s">
        <v>63</v>
      </c>
      <c r="T266" s="1" t="s">
        <v>63</v>
      </c>
      <c r="U266" s="1" t="s">
        <v>40</v>
      </c>
      <c r="V266" s="1" t="s">
        <v>41</v>
      </c>
      <c r="W266" s="1" t="s">
        <v>1440</v>
      </c>
      <c r="X266" s="1" t="s">
        <v>1441</v>
      </c>
      <c r="Y266" s="1" t="s">
        <v>44</v>
      </c>
      <c r="Z266" s="1" t="b">
        <v>1</v>
      </c>
      <c r="AA266" s="1"/>
      <c r="AB266" s="1" t="s">
        <v>45</v>
      </c>
      <c r="AC266" s="1"/>
    </row>
    <row r="267" spans="1:29" x14ac:dyDescent="0.35">
      <c r="A267" s="2" t="s">
        <v>27</v>
      </c>
      <c r="B267" s="2" t="s">
        <v>28</v>
      </c>
      <c r="C267" s="2" t="s">
        <v>29</v>
      </c>
      <c r="D267" s="2" t="s">
        <v>30</v>
      </c>
      <c r="E267" s="2" t="s">
        <v>31</v>
      </c>
      <c r="F267" s="2" t="s">
        <v>1103</v>
      </c>
      <c r="G267" s="2" t="s">
        <v>1103</v>
      </c>
      <c r="H267" s="2" t="s">
        <v>54</v>
      </c>
      <c r="I267" s="2" t="s">
        <v>86</v>
      </c>
      <c r="J267" s="2" t="s">
        <v>212</v>
      </c>
      <c r="K267" s="2" t="s">
        <v>1442</v>
      </c>
      <c r="L267" s="2" t="s">
        <v>214</v>
      </c>
      <c r="M267" t="s">
        <v>943</v>
      </c>
      <c r="N267" t="s">
        <v>618</v>
      </c>
      <c r="O267" t="s">
        <v>943</v>
      </c>
      <c r="P267" t="s">
        <v>944</v>
      </c>
      <c r="Q267" s="2" t="s">
        <v>61</v>
      </c>
      <c r="R267" s="2" t="s">
        <v>1424</v>
      </c>
      <c r="S267" s="2" t="s">
        <v>63</v>
      </c>
      <c r="T267" s="2" t="s">
        <v>63</v>
      </c>
      <c r="U267" s="2" t="s">
        <v>40</v>
      </c>
      <c r="V267" s="2" t="s">
        <v>41</v>
      </c>
      <c r="W267" s="2" t="s">
        <v>1445</v>
      </c>
      <c r="X267" s="2" t="s">
        <v>1446</v>
      </c>
      <c r="Y267" s="2" t="s">
        <v>44</v>
      </c>
      <c r="Z267" s="2" t="b">
        <v>1</v>
      </c>
      <c r="AA267" s="2"/>
      <c r="AB267" s="2" t="s">
        <v>45</v>
      </c>
      <c r="AC267" s="2"/>
    </row>
    <row r="268" spans="1:29" x14ac:dyDescent="0.35">
      <c r="A268" s="1" t="s">
        <v>27</v>
      </c>
      <c r="B268" s="1" t="s">
        <v>28</v>
      </c>
      <c r="C268" s="1" t="s">
        <v>29</v>
      </c>
      <c r="D268" s="1" t="s">
        <v>30</v>
      </c>
      <c r="E268" s="1" t="s">
        <v>31</v>
      </c>
      <c r="F268" s="1" t="s">
        <v>1103</v>
      </c>
      <c r="G268" s="1" t="s">
        <v>1103</v>
      </c>
      <c r="H268" s="1" t="s">
        <v>54</v>
      </c>
      <c r="I268" s="1" t="s">
        <v>86</v>
      </c>
      <c r="J268" s="1" t="s">
        <v>212</v>
      </c>
      <c r="K268" s="1" t="s">
        <v>1447</v>
      </c>
      <c r="L268" s="1" t="s">
        <v>214</v>
      </c>
      <c r="M268" t="s">
        <v>948</v>
      </c>
      <c r="N268" t="s">
        <v>618</v>
      </c>
      <c r="O268" t="s">
        <v>948</v>
      </c>
      <c r="P268" t="s">
        <v>949</v>
      </c>
      <c r="Q268" s="1" t="s">
        <v>61</v>
      </c>
      <c r="R268" s="1" t="s">
        <v>1424</v>
      </c>
      <c r="S268" s="1" t="s">
        <v>63</v>
      </c>
      <c r="T268" s="1" t="s">
        <v>63</v>
      </c>
      <c r="U268" s="1" t="s">
        <v>40</v>
      </c>
      <c r="V268" s="1" t="s">
        <v>41</v>
      </c>
      <c r="W268" s="1" t="s">
        <v>1450</v>
      </c>
      <c r="X268" s="1" t="s">
        <v>1451</v>
      </c>
      <c r="Y268" s="1" t="s">
        <v>44</v>
      </c>
      <c r="Z268" s="1" t="b">
        <v>1</v>
      </c>
      <c r="AA268" s="1"/>
      <c r="AB268" s="1" t="s">
        <v>45</v>
      </c>
      <c r="AC268" s="1"/>
    </row>
    <row r="269" spans="1:29" x14ac:dyDescent="0.35">
      <c r="A269" s="2" t="s">
        <v>27</v>
      </c>
      <c r="B269" s="2" t="s">
        <v>28</v>
      </c>
      <c r="C269" s="2" t="s">
        <v>29</v>
      </c>
      <c r="D269" s="2" t="s">
        <v>30</v>
      </c>
      <c r="E269" s="2" t="s">
        <v>31</v>
      </c>
      <c r="F269" s="2" t="s">
        <v>1103</v>
      </c>
      <c r="G269" s="2" t="s">
        <v>1103</v>
      </c>
      <c r="H269" s="2" t="s">
        <v>54</v>
      </c>
      <c r="I269" s="2" t="s">
        <v>86</v>
      </c>
      <c r="J269" s="2" t="s">
        <v>212</v>
      </c>
      <c r="K269" s="2" t="s">
        <v>1452</v>
      </c>
      <c r="L269" s="2" t="s">
        <v>214</v>
      </c>
      <c r="M269" t="s">
        <v>953</v>
      </c>
      <c r="N269" t="s">
        <v>618</v>
      </c>
      <c r="O269" t="s">
        <v>953</v>
      </c>
      <c r="P269" t="s">
        <v>954</v>
      </c>
      <c r="Q269" s="2" t="s">
        <v>61</v>
      </c>
      <c r="R269" s="2" t="s">
        <v>1424</v>
      </c>
      <c r="S269" s="2" t="s">
        <v>63</v>
      </c>
      <c r="T269" s="2" t="s">
        <v>63</v>
      </c>
      <c r="U269" s="2" t="s">
        <v>40</v>
      </c>
      <c r="V269" s="2" t="s">
        <v>41</v>
      </c>
      <c r="W269" s="2" t="s">
        <v>1455</v>
      </c>
      <c r="X269" s="2" t="s">
        <v>1456</v>
      </c>
      <c r="Y269" s="2" t="s">
        <v>44</v>
      </c>
      <c r="Z269" s="2" t="b">
        <v>1</v>
      </c>
      <c r="AA269" s="2"/>
      <c r="AB269" s="2" t="s">
        <v>45</v>
      </c>
      <c r="AC269" s="2"/>
    </row>
    <row r="270" spans="1:29" x14ac:dyDescent="0.35">
      <c r="A270" s="1" t="s">
        <v>27</v>
      </c>
      <c r="B270" s="1" t="s">
        <v>28</v>
      </c>
      <c r="C270" s="1" t="s">
        <v>29</v>
      </c>
      <c r="D270" s="1" t="s">
        <v>30</v>
      </c>
      <c r="E270" s="1" t="s">
        <v>31</v>
      </c>
      <c r="F270" s="1" t="s">
        <v>1103</v>
      </c>
      <c r="G270" s="1" t="s">
        <v>1103</v>
      </c>
      <c r="H270" s="1" t="s">
        <v>54</v>
      </c>
      <c r="I270" s="1" t="s">
        <v>86</v>
      </c>
      <c r="J270" s="1" t="s">
        <v>212</v>
      </c>
      <c r="K270" s="1" t="s">
        <v>1457</v>
      </c>
      <c r="L270" s="1" t="s">
        <v>214</v>
      </c>
      <c r="M270" t="s">
        <v>958</v>
      </c>
      <c r="N270" t="s">
        <v>618</v>
      </c>
      <c r="O270" t="s">
        <v>958</v>
      </c>
      <c r="P270" t="s">
        <v>959</v>
      </c>
      <c r="Q270" s="1" t="s">
        <v>61</v>
      </c>
      <c r="R270" s="1" t="s">
        <v>1424</v>
      </c>
      <c r="S270" s="1" t="s">
        <v>63</v>
      </c>
      <c r="T270" s="1" t="s">
        <v>63</v>
      </c>
      <c r="U270" s="1" t="s">
        <v>40</v>
      </c>
      <c r="V270" s="1" t="s">
        <v>41</v>
      </c>
      <c r="W270" s="1" t="s">
        <v>1460</v>
      </c>
      <c r="X270" s="1" t="s">
        <v>1461</v>
      </c>
      <c r="Y270" s="1" t="s">
        <v>44</v>
      </c>
      <c r="Z270" s="1" t="b">
        <v>1</v>
      </c>
      <c r="AA270" s="1"/>
      <c r="AB270" s="1" t="s">
        <v>45</v>
      </c>
      <c r="AC270" s="1"/>
    </row>
    <row r="271" spans="1:29" x14ac:dyDescent="0.35">
      <c r="A271" s="2" t="s">
        <v>27</v>
      </c>
      <c r="B271" s="2" t="s">
        <v>28</v>
      </c>
      <c r="C271" s="2" t="s">
        <v>29</v>
      </c>
      <c r="D271" s="2" t="s">
        <v>30</v>
      </c>
      <c r="E271" s="2" t="s">
        <v>31</v>
      </c>
      <c r="F271" s="2" t="s">
        <v>1103</v>
      </c>
      <c r="G271" s="2" t="s">
        <v>1103</v>
      </c>
      <c r="H271" s="2" t="s">
        <v>54</v>
      </c>
      <c r="I271" s="2" t="s">
        <v>86</v>
      </c>
      <c r="J271" s="2" t="s">
        <v>212</v>
      </c>
      <c r="K271" s="2" t="s">
        <v>1462</v>
      </c>
      <c r="L271" s="2" t="s">
        <v>214</v>
      </c>
      <c r="M271" t="s">
        <v>963</v>
      </c>
      <c r="N271" t="s">
        <v>618</v>
      </c>
      <c r="O271" t="s">
        <v>963</v>
      </c>
      <c r="P271" t="s">
        <v>964</v>
      </c>
      <c r="Q271" s="2" t="s">
        <v>61</v>
      </c>
      <c r="R271" s="2" t="s">
        <v>1424</v>
      </c>
      <c r="S271" s="2" t="s">
        <v>63</v>
      </c>
      <c r="T271" s="2" t="s">
        <v>63</v>
      </c>
      <c r="U271" s="2" t="s">
        <v>40</v>
      </c>
      <c r="V271" s="2" t="s">
        <v>41</v>
      </c>
      <c r="W271" s="2" t="s">
        <v>1465</v>
      </c>
      <c r="X271" s="2" t="s">
        <v>1466</v>
      </c>
      <c r="Y271" s="2" t="s">
        <v>44</v>
      </c>
      <c r="Z271" s="2" t="b">
        <v>1</v>
      </c>
      <c r="AA271" s="2"/>
      <c r="AB271" s="2" t="s">
        <v>45</v>
      </c>
      <c r="AC271" s="2"/>
    </row>
    <row r="272" spans="1:29" x14ac:dyDescent="0.35">
      <c r="A272" s="1" t="s">
        <v>27</v>
      </c>
      <c r="B272" s="1" t="s">
        <v>28</v>
      </c>
      <c r="C272" s="1" t="s">
        <v>29</v>
      </c>
      <c r="D272" s="1" t="s">
        <v>30</v>
      </c>
      <c r="E272" s="1" t="s">
        <v>31</v>
      </c>
      <c r="F272" s="1" t="s">
        <v>1103</v>
      </c>
      <c r="G272" s="1" t="s">
        <v>1103</v>
      </c>
      <c r="H272" s="1" t="s">
        <v>54</v>
      </c>
      <c r="I272" s="1" t="s">
        <v>86</v>
      </c>
      <c r="J272" s="1" t="s">
        <v>212</v>
      </c>
      <c r="K272" s="1" t="s">
        <v>1467</v>
      </c>
      <c r="L272" s="1" t="s">
        <v>214</v>
      </c>
      <c r="M272" t="s">
        <v>968</v>
      </c>
      <c r="N272" t="s">
        <v>618</v>
      </c>
      <c r="O272" t="s">
        <v>968</v>
      </c>
      <c r="P272" t="s">
        <v>969</v>
      </c>
      <c r="Q272" s="1" t="s">
        <v>61</v>
      </c>
      <c r="R272" s="1" t="s">
        <v>1424</v>
      </c>
      <c r="S272" s="1" t="s">
        <v>63</v>
      </c>
      <c r="T272" s="1" t="s">
        <v>63</v>
      </c>
      <c r="U272" s="1" t="s">
        <v>40</v>
      </c>
      <c r="V272" s="1" t="s">
        <v>41</v>
      </c>
      <c r="W272" s="1" t="s">
        <v>1470</v>
      </c>
      <c r="X272" s="1" t="s">
        <v>1471</v>
      </c>
      <c r="Y272" s="1" t="s">
        <v>44</v>
      </c>
      <c r="Z272" s="1" t="b">
        <v>1</v>
      </c>
      <c r="AA272" s="1"/>
      <c r="AB272" s="1" t="s">
        <v>45</v>
      </c>
      <c r="AC272" s="1"/>
    </row>
    <row r="273" spans="1:29" x14ac:dyDescent="0.35">
      <c r="A273" s="2" t="s">
        <v>27</v>
      </c>
      <c r="B273" s="2" t="s">
        <v>28</v>
      </c>
      <c r="C273" s="2" t="s">
        <v>29</v>
      </c>
      <c r="D273" s="2" t="s">
        <v>30</v>
      </c>
      <c r="E273" s="2" t="s">
        <v>31</v>
      </c>
      <c r="F273" s="2" t="s">
        <v>1103</v>
      </c>
      <c r="G273" s="2" t="s">
        <v>1103</v>
      </c>
      <c r="H273" s="2" t="s">
        <v>54</v>
      </c>
      <c r="I273" s="2" t="s">
        <v>86</v>
      </c>
      <c r="J273" s="2" t="s">
        <v>212</v>
      </c>
      <c r="K273" s="2" t="s">
        <v>1472</v>
      </c>
      <c r="L273" s="2" t="s">
        <v>214</v>
      </c>
      <c r="M273" t="s">
        <v>973</v>
      </c>
      <c r="N273" t="s">
        <v>618</v>
      </c>
      <c r="O273" t="s">
        <v>973</v>
      </c>
      <c r="P273" t="s">
        <v>974</v>
      </c>
      <c r="Q273" s="2" t="s">
        <v>61</v>
      </c>
      <c r="R273" s="2" t="s">
        <v>1424</v>
      </c>
      <c r="S273" s="2" t="s">
        <v>63</v>
      </c>
      <c r="T273" s="2" t="s">
        <v>63</v>
      </c>
      <c r="U273" s="2" t="s">
        <v>40</v>
      </c>
      <c r="V273" s="2" t="s">
        <v>41</v>
      </c>
      <c r="W273" s="2" t="s">
        <v>1475</v>
      </c>
      <c r="X273" s="2" t="s">
        <v>1476</v>
      </c>
      <c r="Y273" s="2" t="s">
        <v>44</v>
      </c>
      <c r="Z273" s="2" t="b">
        <v>1</v>
      </c>
      <c r="AA273" s="2"/>
      <c r="AB273" s="2" t="s">
        <v>45</v>
      </c>
      <c r="AC273" s="2"/>
    </row>
    <row r="274" spans="1:29" x14ac:dyDescent="0.35">
      <c r="A274" s="1" t="s">
        <v>27</v>
      </c>
      <c r="B274" s="1" t="s">
        <v>28</v>
      </c>
      <c r="C274" s="1" t="s">
        <v>29</v>
      </c>
      <c r="D274" s="1" t="s">
        <v>30</v>
      </c>
      <c r="E274" s="1" t="s">
        <v>31</v>
      </c>
      <c r="F274" s="1" t="s">
        <v>1103</v>
      </c>
      <c r="G274" s="1" t="s">
        <v>1103</v>
      </c>
      <c r="H274" s="1" t="s">
        <v>54</v>
      </c>
      <c r="I274" s="1" t="s">
        <v>86</v>
      </c>
      <c r="J274" s="1" t="s">
        <v>212</v>
      </c>
      <c r="K274" s="1" t="s">
        <v>1477</v>
      </c>
      <c r="L274" s="1" t="s">
        <v>214</v>
      </c>
      <c r="M274" t="s">
        <v>978</v>
      </c>
      <c r="N274" t="s">
        <v>618</v>
      </c>
      <c r="O274" t="s">
        <v>978</v>
      </c>
      <c r="P274" t="s">
        <v>979</v>
      </c>
      <c r="Q274" s="1" t="s">
        <v>61</v>
      </c>
      <c r="R274" s="1" t="s">
        <v>1424</v>
      </c>
      <c r="S274" s="1" t="s">
        <v>63</v>
      </c>
      <c r="T274" s="1" t="s">
        <v>63</v>
      </c>
      <c r="U274" s="1" t="s">
        <v>40</v>
      </c>
      <c r="V274" s="1" t="s">
        <v>41</v>
      </c>
      <c r="W274" s="1" t="s">
        <v>1480</v>
      </c>
      <c r="X274" s="1" t="s">
        <v>1481</v>
      </c>
      <c r="Y274" s="1" t="s">
        <v>44</v>
      </c>
      <c r="Z274" s="1" t="b">
        <v>1</v>
      </c>
      <c r="AA274" s="1"/>
      <c r="AB274" s="1" t="s">
        <v>45</v>
      </c>
      <c r="AC274" s="1"/>
    </row>
    <row r="275" spans="1:29" x14ac:dyDescent="0.35">
      <c r="A275" s="2" t="s">
        <v>27</v>
      </c>
      <c r="B275" s="2" t="s">
        <v>28</v>
      </c>
      <c r="C275" s="2" t="s">
        <v>29</v>
      </c>
      <c r="D275" s="2" t="s">
        <v>30</v>
      </c>
      <c r="E275" s="2" t="s">
        <v>31</v>
      </c>
      <c r="F275" s="2" t="s">
        <v>1103</v>
      </c>
      <c r="G275" s="2" t="s">
        <v>1103</v>
      </c>
      <c r="H275" s="2" t="s">
        <v>54</v>
      </c>
      <c r="I275" s="2" t="s">
        <v>86</v>
      </c>
      <c r="J275" s="2" t="s">
        <v>212</v>
      </c>
      <c r="K275" s="2" t="s">
        <v>1482</v>
      </c>
      <c r="L275" s="2" t="s">
        <v>214</v>
      </c>
      <c r="M275" t="s">
        <v>983</v>
      </c>
      <c r="N275" t="s">
        <v>618</v>
      </c>
      <c r="O275" t="s">
        <v>983</v>
      </c>
      <c r="P275" t="s">
        <v>984</v>
      </c>
      <c r="Q275" s="2" t="s">
        <v>61</v>
      </c>
      <c r="R275" s="2" t="s">
        <v>1424</v>
      </c>
      <c r="S275" s="2" t="s">
        <v>63</v>
      </c>
      <c r="T275" s="2" t="s">
        <v>63</v>
      </c>
      <c r="U275" s="2" t="s">
        <v>40</v>
      </c>
      <c r="V275" s="2" t="s">
        <v>41</v>
      </c>
      <c r="W275" s="2" t="s">
        <v>1485</v>
      </c>
      <c r="X275" s="2" t="s">
        <v>1486</v>
      </c>
      <c r="Y275" s="2" t="s">
        <v>44</v>
      </c>
      <c r="Z275" s="2" t="b">
        <v>1</v>
      </c>
      <c r="AA275" s="2"/>
      <c r="AB275" s="2" t="s">
        <v>45</v>
      </c>
      <c r="AC275" s="2"/>
    </row>
    <row r="276" spans="1:29" x14ac:dyDescent="0.35">
      <c r="A276" s="1" t="s">
        <v>27</v>
      </c>
      <c r="B276" s="1" t="s">
        <v>28</v>
      </c>
      <c r="C276" s="1" t="s">
        <v>29</v>
      </c>
      <c r="D276" s="1" t="s">
        <v>30</v>
      </c>
      <c r="E276" s="1" t="s">
        <v>31</v>
      </c>
      <c r="F276" s="1" t="s">
        <v>1103</v>
      </c>
      <c r="G276" s="1" t="s">
        <v>1103</v>
      </c>
      <c r="H276" s="1" t="s">
        <v>54</v>
      </c>
      <c r="I276" s="1" t="s">
        <v>86</v>
      </c>
      <c r="J276" s="1" t="s">
        <v>212</v>
      </c>
      <c r="K276" s="1" t="s">
        <v>1487</v>
      </c>
      <c r="L276" s="1" t="s">
        <v>214</v>
      </c>
      <c r="M276" t="s">
        <v>988</v>
      </c>
      <c r="N276" t="s">
        <v>618</v>
      </c>
      <c r="O276" t="s">
        <v>988</v>
      </c>
      <c r="P276" t="s">
        <v>989</v>
      </c>
      <c r="Q276" s="1" t="s">
        <v>701</v>
      </c>
      <c r="R276" s="1" t="s">
        <v>702</v>
      </c>
      <c r="S276" s="1" t="s">
        <v>63</v>
      </c>
      <c r="T276" s="1" t="s">
        <v>63</v>
      </c>
      <c r="U276" s="1" t="s">
        <v>40</v>
      </c>
      <c r="V276" s="1" t="s">
        <v>41</v>
      </c>
      <c r="W276" s="1" t="s">
        <v>1490</v>
      </c>
      <c r="X276" s="1" t="s">
        <v>1491</v>
      </c>
      <c r="Y276" s="1" t="s">
        <v>44</v>
      </c>
      <c r="Z276" s="1" t="b">
        <v>1</v>
      </c>
      <c r="AA276" s="1"/>
      <c r="AB276" s="1" t="s">
        <v>45</v>
      </c>
      <c r="AC276" s="1"/>
    </row>
    <row r="277" spans="1:29" x14ac:dyDescent="0.35">
      <c r="A277" s="2" t="s">
        <v>27</v>
      </c>
      <c r="B277" s="2" t="s">
        <v>28</v>
      </c>
      <c r="C277" s="2" t="s">
        <v>29</v>
      </c>
      <c r="D277" s="2" t="s">
        <v>30</v>
      </c>
      <c r="E277" s="2" t="s">
        <v>31</v>
      </c>
      <c r="F277" s="2" t="s">
        <v>1103</v>
      </c>
      <c r="G277" s="2" t="s">
        <v>1103</v>
      </c>
      <c r="H277" s="2" t="s">
        <v>54</v>
      </c>
      <c r="I277" s="2" t="s">
        <v>86</v>
      </c>
      <c r="J277" s="2" t="s">
        <v>212</v>
      </c>
      <c r="K277" s="2" t="s">
        <v>1492</v>
      </c>
      <c r="L277" s="2" t="s">
        <v>214</v>
      </c>
      <c r="M277" t="s">
        <v>993</v>
      </c>
      <c r="N277" t="s">
        <v>618</v>
      </c>
      <c r="O277" t="s">
        <v>993</v>
      </c>
      <c r="P277" t="s">
        <v>994</v>
      </c>
      <c r="Q277" s="2" t="s">
        <v>217</v>
      </c>
      <c r="R277" s="2" t="s">
        <v>61</v>
      </c>
      <c r="S277" s="2" t="s">
        <v>63</v>
      </c>
      <c r="T277" s="2" t="s">
        <v>63</v>
      </c>
      <c r="U277" s="2" t="s">
        <v>40</v>
      </c>
      <c r="V277" s="2" t="s">
        <v>41</v>
      </c>
      <c r="W277" s="2" t="s">
        <v>1495</v>
      </c>
      <c r="X277" s="2" t="s">
        <v>1496</v>
      </c>
      <c r="Y277" s="2" t="s">
        <v>44</v>
      </c>
      <c r="Z277" s="2" t="b">
        <v>1</v>
      </c>
      <c r="AA277" s="2"/>
      <c r="AB277" s="2" t="s">
        <v>45</v>
      </c>
      <c r="AC277" s="2"/>
    </row>
    <row r="278" spans="1:29" x14ac:dyDescent="0.35">
      <c r="A278" s="1" t="s">
        <v>27</v>
      </c>
      <c r="B278" s="1" t="s">
        <v>28</v>
      </c>
      <c r="C278" s="1" t="s">
        <v>29</v>
      </c>
      <c r="D278" s="1" t="s">
        <v>30</v>
      </c>
      <c r="E278" s="1" t="s">
        <v>31</v>
      </c>
      <c r="F278" s="1" t="s">
        <v>1103</v>
      </c>
      <c r="G278" s="1" t="s">
        <v>1103</v>
      </c>
      <c r="H278" s="1" t="s">
        <v>54</v>
      </c>
      <c r="I278" s="1" t="s">
        <v>86</v>
      </c>
      <c r="J278" s="1" t="s">
        <v>212</v>
      </c>
      <c r="K278" s="1" t="s">
        <v>1497</v>
      </c>
      <c r="L278" s="1" t="s">
        <v>214</v>
      </c>
      <c r="M278" t="s">
        <v>998</v>
      </c>
      <c r="N278" t="s">
        <v>618</v>
      </c>
      <c r="O278" t="s">
        <v>998</v>
      </c>
      <c r="P278" t="s">
        <v>999</v>
      </c>
      <c r="Q278" s="1" t="s">
        <v>217</v>
      </c>
      <c r="R278" s="1" t="s">
        <v>599</v>
      </c>
      <c r="S278" s="1" t="s">
        <v>63</v>
      </c>
      <c r="T278" s="1" t="s">
        <v>63</v>
      </c>
      <c r="U278" s="1" t="s">
        <v>40</v>
      </c>
      <c r="V278" s="1" t="s">
        <v>41</v>
      </c>
      <c r="W278" s="1" t="s">
        <v>1500</v>
      </c>
      <c r="X278" s="1" t="s">
        <v>1501</v>
      </c>
      <c r="Y278" s="1" t="s">
        <v>44</v>
      </c>
      <c r="Z278" s="1" t="b">
        <v>1</v>
      </c>
      <c r="AA278" s="1"/>
      <c r="AB278" s="1" t="s">
        <v>45</v>
      </c>
      <c r="AC278" s="1"/>
    </row>
    <row r="279" spans="1:29" x14ac:dyDescent="0.35">
      <c r="A279" s="2" t="s">
        <v>27</v>
      </c>
      <c r="B279" s="2" t="s">
        <v>28</v>
      </c>
      <c r="C279" s="2" t="s">
        <v>29</v>
      </c>
      <c r="D279" s="2" t="s">
        <v>30</v>
      </c>
      <c r="E279" s="2" t="s">
        <v>31</v>
      </c>
      <c r="F279" s="2" t="s">
        <v>1103</v>
      </c>
      <c r="G279" s="2" t="s">
        <v>1103</v>
      </c>
      <c r="H279" s="2" t="s">
        <v>54</v>
      </c>
      <c r="I279" s="2" t="s">
        <v>55</v>
      </c>
      <c r="J279" s="2" t="s">
        <v>272</v>
      </c>
      <c r="K279" s="2" t="s">
        <v>1502</v>
      </c>
      <c r="L279" s="2" t="s">
        <v>1503</v>
      </c>
      <c r="M279" t="s">
        <v>1003</v>
      </c>
      <c r="N279" t="s">
        <v>618</v>
      </c>
      <c r="O279" t="s">
        <v>1003</v>
      </c>
      <c r="P279" t="s">
        <v>1004</v>
      </c>
      <c r="Q279" s="2" t="s">
        <v>61</v>
      </c>
      <c r="R279" s="2" t="s">
        <v>136</v>
      </c>
      <c r="S279" s="2" t="s">
        <v>63</v>
      </c>
      <c r="T279" s="2" t="s">
        <v>63</v>
      </c>
      <c r="U279" s="2" t="s">
        <v>40</v>
      </c>
      <c r="V279" s="2" t="s">
        <v>41</v>
      </c>
      <c r="W279" s="2" t="s">
        <v>1506</v>
      </c>
      <c r="X279" s="2" t="s">
        <v>1507</v>
      </c>
      <c r="Y279" s="2" t="s">
        <v>44</v>
      </c>
      <c r="Z279" s="2" t="b">
        <v>1</v>
      </c>
      <c r="AA279" s="2"/>
      <c r="AB279" s="2" t="s">
        <v>45</v>
      </c>
      <c r="AC279" s="2"/>
    </row>
    <row r="280" spans="1:29" x14ac:dyDescent="0.35">
      <c r="A280" s="1" t="s">
        <v>27</v>
      </c>
      <c r="B280" s="1" t="s">
        <v>28</v>
      </c>
      <c r="C280" s="1" t="s">
        <v>29</v>
      </c>
      <c r="D280" s="1" t="s">
        <v>30</v>
      </c>
      <c r="E280" s="1" t="s">
        <v>31</v>
      </c>
      <c r="F280" s="1" t="s">
        <v>1103</v>
      </c>
      <c r="G280" s="1" t="s">
        <v>1103</v>
      </c>
      <c r="H280" s="1" t="s">
        <v>54</v>
      </c>
      <c r="I280" s="1" t="s">
        <v>55</v>
      </c>
      <c r="J280" s="1" t="s">
        <v>272</v>
      </c>
      <c r="K280" s="1" t="s">
        <v>1508</v>
      </c>
      <c r="L280" s="1" t="s">
        <v>274</v>
      </c>
      <c r="M280" t="s">
        <v>1008</v>
      </c>
      <c r="N280" t="s">
        <v>618</v>
      </c>
      <c r="O280" t="s">
        <v>1008</v>
      </c>
      <c r="P280" t="s">
        <v>1009</v>
      </c>
      <c r="Q280" s="1" t="s">
        <v>61</v>
      </c>
      <c r="R280" s="1" t="s">
        <v>277</v>
      </c>
      <c r="S280" s="1" t="s">
        <v>63</v>
      </c>
      <c r="T280" s="1" t="s">
        <v>63</v>
      </c>
      <c r="U280" s="1" t="s">
        <v>40</v>
      </c>
      <c r="V280" s="1" t="s">
        <v>41</v>
      </c>
      <c r="W280" s="1" t="s">
        <v>1511</v>
      </c>
      <c r="X280" s="1" t="s">
        <v>1512</v>
      </c>
      <c r="Y280" s="1" t="s">
        <v>44</v>
      </c>
      <c r="Z280" s="1" t="b">
        <v>1</v>
      </c>
      <c r="AA280" s="1"/>
      <c r="AB280" s="1" t="s">
        <v>45</v>
      </c>
      <c r="AC280" s="1"/>
    </row>
    <row r="281" spans="1:29" x14ac:dyDescent="0.35">
      <c r="A281" s="2" t="s">
        <v>27</v>
      </c>
      <c r="B281" s="2" t="s">
        <v>28</v>
      </c>
      <c r="C281" s="2" t="s">
        <v>29</v>
      </c>
      <c r="D281" s="2" t="s">
        <v>30</v>
      </c>
      <c r="E281" s="2" t="s">
        <v>31</v>
      </c>
      <c r="F281" s="2" t="s">
        <v>1103</v>
      </c>
      <c r="G281" s="2" t="s">
        <v>1103</v>
      </c>
      <c r="H281" s="2" t="s">
        <v>54</v>
      </c>
      <c r="I281" s="2" t="s">
        <v>55</v>
      </c>
      <c r="J281" s="2" t="s">
        <v>272</v>
      </c>
      <c r="K281" s="2" t="s">
        <v>1513</v>
      </c>
      <c r="L281" s="2" t="s">
        <v>274</v>
      </c>
      <c r="M281" t="s">
        <v>1013</v>
      </c>
      <c r="N281" t="s">
        <v>618</v>
      </c>
      <c r="O281" t="s">
        <v>1013</v>
      </c>
      <c r="P281" t="s">
        <v>1014</v>
      </c>
      <c r="Q281" s="2" t="s">
        <v>61</v>
      </c>
      <c r="R281" s="2" t="s">
        <v>277</v>
      </c>
      <c r="S281" s="2" t="s">
        <v>63</v>
      </c>
      <c r="T281" s="2" t="s">
        <v>63</v>
      </c>
      <c r="U281" s="2" t="s">
        <v>40</v>
      </c>
      <c r="V281" s="2" t="s">
        <v>41</v>
      </c>
      <c r="W281" s="2" t="s">
        <v>1516</v>
      </c>
      <c r="X281" s="2" t="s">
        <v>1517</v>
      </c>
      <c r="Y281" s="2" t="s">
        <v>44</v>
      </c>
      <c r="Z281" s="2" t="b">
        <v>1</v>
      </c>
      <c r="AA281" s="2"/>
      <c r="AB281" s="2" t="s">
        <v>45</v>
      </c>
      <c r="AC281" s="2"/>
    </row>
    <row r="282" spans="1:29" x14ac:dyDescent="0.35">
      <c r="A282" s="1" t="s">
        <v>27</v>
      </c>
      <c r="B282" s="1" t="s">
        <v>28</v>
      </c>
      <c r="C282" s="1" t="s">
        <v>29</v>
      </c>
      <c r="D282" s="1" t="s">
        <v>30</v>
      </c>
      <c r="E282" s="1" t="s">
        <v>31</v>
      </c>
      <c r="F282" s="1" t="s">
        <v>1103</v>
      </c>
      <c r="G282" s="1" t="s">
        <v>1103</v>
      </c>
      <c r="H282" s="1" t="s">
        <v>54</v>
      </c>
      <c r="I282" s="1" t="s">
        <v>55</v>
      </c>
      <c r="J282" s="1" t="s">
        <v>272</v>
      </c>
      <c r="K282" s="1" t="s">
        <v>1518</v>
      </c>
      <c r="L282" s="1" t="s">
        <v>274</v>
      </c>
      <c r="M282" t="s">
        <v>1018</v>
      </c>
      <c r="N282" t="s">
        <v>618</v>
      </c>
      <c r="O282" t="s">
        <v>1018</v>
      </c>
      <c r="P282" t="s">
        <v>1019</v>
      </c>
      <c r="Q282" s="1" t="s">
        <v>61</v>
      </c>
      <c r="R282" s="1" t="s">
        <v>277</v>
      </c>
      <c r="S282" s="1" t="s">
        <v>63</v>
      </c>
      <c r="T282" s="1" t="s">
        <v>63</v>
      </c>
      <c r="U282" s="1" t="s">
        <v>40</v>
      </c>
      <c r="V282" s="1" t="s">
        <v>41</v>
      </c>
      <c r="W282" s="1" t="s">
        <v>1521</v>
      </c>
      <c r="X282" s="1" t="s">
        <v>1522</v>
      </c>
      <c r="Y282" s="1" t="s">
        <v>44</v>
      </c>
      <c r="Z282" s="1" t="b">
        <v>1</v>
      </c>
      <c r="AA282" s="1"/>
      <c r="AB282" s="1" t="s">
        <v>45</v>
      </c>
      <c r="AC282" s="1"/>
    </row>
    <row r="283" spans="1:29" x14ac:dyDescent="0.35">
      <c r="A283" s="2" t="s">
        <v>27</v>
      </c>
      <c r="B283" s="2" t="s">
        <v>28</v>
      </c>
      <c r="C283" s="2" t="s">
        <v>29</v>
      </c>
      <c r="D283" s="2" t="s">
        <v>30</v>
      </c>
      <c r="E283" s="2" t="s">
        <v>31</v>
      </c>
      <c r="F283" s="2" t="s">
        <v>1103</v>
      </c>
      <c r="G283" s="2" t="s">
        <v>1103</v>
      </c>
      <c r="H283" s="2" t="s">
        <v>54</v>
      </c>
      <c r="I283" s="2" t="s">
        <v>55</v>
      </c>
      <c r="J283" s="2" t="s">
        <v>272</v>
      </c>
      <c r="K283" s="2" t="s">
        <v>1523</v>
      </c>
      <c r="L283" s="2" t="s">
        <v>274</v>
      </c>
      <c r="M283" t="s">
        <v>1023</v>
      </c>
      <c r="N283" t="s">
        <v>618</v>
      </c>
      <c r="O283" t="s">
        <v>1023</v>
      </c>
      <c r="P283" t="s">
        <v>1024</v>
      </c>
      <c r="Q283" s="2" t="s">
        <v>61</v>
      </c>
      <c r="R283" s="2" t="s">
        <v>277</v>
      </c>
      <c r="S283" s="2" t="s">
        <v>63</v>
      </c>
      <c r="T283" s="2" t="s">
        <v>63</v>
      </c>
      <c r="U283" s="2" t="s">
        <v>40</v>
      </c>
      <c r="V283" s="2" t="s">
        <v>41</v>
      </c>
      <c r="W283" s="2" t="s">
        <v>1526</v>
      </c>
      <c r="X283" s="2" t="s">
        <v>1527</v>
      </c>
      <c r="Y283" s="2" t="s">
        <v>44</v>
      </c>
      <c r="Z283" s="2" t="b">
        <v>1</v>
      </c>
      <c r="AA283" s="2"/>
      <c r="AB283" s="2" t="s">
        <v>45</v>
      </c>
      <c r="AC283" s="2"/>
    </row>
    <row r="284" spans="1:29" x14ac:dyDescent="0.35">
      <c r="A284" s="1" t="s">
        <v>27</v>
      </c>
      <c r="B284" s="1" t="s">
        <v>28</v>
      </c>
      <c r="C284" s="1" t="s">
        <v>29</v>
      </c>
      <c r="D284" s="1" t="s">
        <v>30</v>
      </c>
      <c r="E284" s="1" t="s">
        <v>31</v>
      </c>
      <c r="F284" s="1" t="s">
        <v>1103</v>
      </c>
      <c r="G284" s="1" t="s">
        <v>1103</v>
      </c>
      <c r="H284" s="1" t="s">
        <v>54</v>
      </c>
      <c r="I284" s="1" t="s">
        <v>55</v>
      </c>
      <c r="J284" s="1" t="s">
        <v>272</v>
      </c>
      <c r="K284" s="1" t="s">
        <v>1528</v>
      </c>
      <c r="L284" s="1" t="s">
        <v>274</v>
      </c>
      <c r="M284" t="s">
        <v>1028</v>
      </c>
      <c r="N284" t="s">
        <v>618</v>
      </c>
      <c r="O284" t="s">
        <v>1028</v>
      </c>
      <c r="P284" t="s">
        <v>1029</v>
      </c>
      <c r="Q284" s="1" t="s">
        <v>61</v>
      </c>
      <c r="R284" s="1" t="s">
        <v>277</v>
      </c>
      <c r="S284" s="1" t="s">
        <v>63</v>
      </c>
      <c r="T284" s="1" t="s">
        <v>63</v>
      </c>
      <c r="U284" s="1" t="s">
        <v>40</v>
      </c>
      <c r="V284" s="1" t="s">
        <v>41</v>
      </c>
      <c r="W284" s="1" t="s">
        <v>1531</v>
      </c>
      <c r="X284" s="1" t="s">
        <v>1532</v>
      </c>
      <c r="Y284" s="1" t="s">
        <v>44</v>
      </c>
      <c r="Z284" s="1" t="b">
        <v>1</v>
      </c>
      <c r="AA284" s="1"/>
      <c r="AB284" s="1" t="s">
        <v>45</v>
      </c>
      <c r="AC284" s="1"/>
    </row>
    <row r="285" spans="1:29" x14ac:dyDescent="0.35">
      <c r="A285" s="2" t="s">
        <v>27</v>
      </c>
      <c r="B285" s="2" t="s">
        <v>28</v>
      </c>
      <c r="C285" s="2" t="s">
        <v>29</v>
      </c>
      <c r="D285" s="2" t="s">
        <v>30</v>
      </c>
      <c r="E285" s="2" t="s">
        <v>31</v>
      </c>
      <c r="F285" s="2" t="s">
        <v>1103</v>
      </c>
      <c r="G285" s="2" t="s">
        <v>1103</v>
      </c>
      <c r="H285" s="2" t="s">
        <v>54</v>
      </c>
      <c r="I285" s="2" t="s">
        <v>55</v>
      </c>
      <c r="J285" s="2" t="s">
        <v>272</v>
      </c>
      <c r="K285" s="2" t="s">
        <v>1533</v>
      </c>
      <c r="L285" s="2" t="s">
        <v>274</v>
      </c>
      <c r="M285" t="s">
        <v>1033</v>
      </c>
      <c r="N285" t="s">
        <v>618</v>
      </c>
      <c r="O285" t="s">
        <v>1033</v>
      </c>
      <c r="P285" t="s">
        <v>1034</v>
      </c>
      <c r="Q285" s="2" t="s">
        <v>61</v>
      </c>
      <c r="R285" s="2" t="s">
        <v>277</v>
      </c>
      <c r="S285" s="2" t="s">
        <v>63</v>
      </c>
      <c r="T285" s="2" t="s">
        <v>63</v>
      </c>
      <c r="U285" s="2" t="s">
        <v>40</v>
      </c>
      <c r="V285" s="2" t="s">
        <v>41</v>
      </c>
      <c r="W285" s="2" t="s">
        <v>1536</v>
      </c>
      <c r="X285" s="2" t="s">
        <v>1537</v>
      </c>
      <c r="Y285" s="2" t="s">
        <v>44</v>
      </c>
      <c r="Z285" s="2" t="b">
        <v>1</v>
      </c>
      <c r="AA285" s="2"/>
      <c r="AB285" s="2" t="s">
        <v>45</v>
      </c>
      <c r="AC285" s="2"/>
    </row>
    <row r="286" spans="1:29" x14ac:dyDescent="0.35">
      <c r="A286" s="1" t="s">
        <v>27</v>
      </c>
      <c r="B286" s="1" t="s">
        <v>28</v>
      </c>
      <c r="C286" s="1" t="s">
        <v>29</v>
      </c>
      <c r="D286" s="1" t="s">
        <v>30</v>
      </c>
      <c r="E286" s="1" t="s">
        <v>31</v>
      </c>
      <c r="F286" s="1" t="s">
        <v>1103</v>
      </c>
      <c r="G286" s="1" t="s">
        <v>1103</v>
      </c>
      <c r="H286" s="1" t="s">
        <v>54</v>
      </c>
      <c r="I286" s="1" t="s">
        <v>55</v>
      </c>
      <c r="J286" s="1" t="s">
        <v>272</v>
      </c>
      <c r="K286" s="1" t="s">
        <v>1538</v>
      </c>
      <c r="L286" s="1" t="s">
        <v>274</v>
      </c>
      <c r="M286" t="s">
        <v>1038</v>
      </c>
      <c r="N286" t="s">
        <v>618</v>
      </c>
      <c r="O286" t="s">
        <v>1038</v>
      </c>
      <c r="P286" t="s">
        <v>1039</v>
      </c>
      <c r="Q286" s="1" t="s">
        <v>61</v>
      </c>
      <c r="R286" s="1" t="s">
        <v>277</v>
      </c>
      <c r="S286" s="1" t="s">
        <v>63</v>
      </c>
      <c r="T286" s="1" t="s">
        <v>63</v>
      </c>
      <c r="U286" s="1" t="s">
        <v>40</v>
      </c>
      <c r="V286" s="1" t="s">
        <v>41</v>
      </c>
      <c r="W286" s="1" t="s">
        <v>1541</v>
      </c>
      <c r="X286" s="1" t="s">
        <v>1542</v>
      </c>
      <c r="Y286" s="1" t="s">
        <v>44</v>
      </c>
      <c r="Z286" s="1" t="b">
        <v>1</v>
      </c>
      <c r="AA286" s="1"/>
      <c r="AB286" s="1" t="s">
        <v>45</v>
      </c>
      <c r="AC286" s="1"/>
    </row>
    <row r="287" spans="1:29" x14ac:dyDescent="0.35">
      <c r="A287" s="2" t="s">
        <v>27</v>
      </c>
      <c r="B287" s="2" t="s">
        <v>28</v>
      </c>
      <c r="C287" s="2" t="s">
        <v>29</v>
      </c>
      <c r="D287" s="2" t="s">
        <v>30</v>
      </c>
      <c r="E287" s="2" t="s">
        <v>31</v>
      </c>
      <c r="F287" s="2" t="s">
        <v>1103</v>
      </c>
      <c r="G287" s="2" t="s">
        <v>1103</v>
      </c>
      <c r="H287" s="2" t="s">
        <v>54</v>
      </c>
      <c r="I287" s="2" t="s">
        <v>55</v>
      </c>
      <c r="J287" s="2" t="s">
        <v>272</v>
      </c>
      <c r="K287" s="2" t="s">
        <v>1543</v>
      </c>
      <c r="L287" s="2" t="s">
        <v>274</v>
      </c>
      <c r="M287" t="s">
        <v>1043</v>
      </c>
      <c r="N287" t="s">
        <v>618</v>
      </c>
      <c r="O287" t="s">
        <v>1043</v>
      </c>
      <c r="P287" t="s">
        <v>1044</v>
      </c>
      <c r="Q287" s="2" t="s">
        <v>61</v>
      </c>
      <c r="R287" s="2" t="s">
        <v>277</v>
      </c>
      <c r="S287" s="2" t="s">
        <v>63</v>
      </c>
      <c r="T287" s="2" t="s">
        <v>63</v>
      </c>
      <c r="U287" s="2" t="s">
        <v>40</v>
      </c>
      <c r="V287" s="2" t="s">
        <v>41</v>
      </c>
      <c r="W287" s="2" t="s">
        <v>1546</v>
      </c>
      <c r="X287" s="2" t="s">
        <v>1547</v>
      </c>
      <c r="Y287" s="2" t="s">
        <v>44</v>
      </c>
      <c r="Z287" s="2" t="b">
        <v>1</v>
      </c>
      <c r="AA287" s="2"/>
      <c r="AB287" s="2" t="s">
        <v>45</v>
      </c>
      <c r="AC287" s="2"/>
    </row>
    <row r="288" spans="1:29" x14ac:dyDescent="0.35">
      <c r="A288" s="1" t="s">
        <v>27</v>
      </c>
      <c r="B288" s="1" t="s">
        <v>28</v>
      </c>
      <c r="C288" s="1" t="s">
        <v>29</v>
      </c>
      <c r="D288" s="1" t="s">
        <v>30</v>
      </c>
      <c r="E288" s="1" t="s">
        <v>31</v>
      </c>
      <c r="F288" s="1" t="s">
        <v>1103</v>
      </c>
      <c r="G288" s="1" t="s">
        <v>1103</v>
      </c>
      <c r="H288" s="1" t="s">
        <v>54</v>
      </c>
      <c r="I288" s="1" t="s">
        <v>55</v>
      </c>
      <c r="J288" s="1" t="s">
        <v>272</v>
      </c>
      <c r="K288" s="1" t="s">
        <v>1548</v>
      </c>
      <c r="L288" s="1" t="s">
        <v>274</v>
      </c>
      <c r="M288" t="s">
        <v>1048</v>
      </c>
      <c r="N288" t="s">
        <v>618</v>
      </c>
      <c r="O288" t="s">
        <v>1048</v>
      </c>
      <c r="P288" t="s">
        <v>1049</v>
      </c>
      <c r="Q288" s="1" t="s">
        <v>61</v>
      </c>
      <c r="R288" s="1" t="s">
        <v>277</v>
      </c>
      <c r="S288" s="1" t="s">
        <v>63</v>
      </c>
      <c r="T288" s="1" t="s">
        <v>63</v>
      </c>
      <c r="U288" s="1" t="s">
        <v>40</v>
      </c>
      <c r="V288" s="1" t="s">
        <v>41</v>
      </c>
      <c r="W288" s="1" t="s">
        <v>1551</v>
      </c>
      <c r="X288" s="1" t="s">
        <v>1552</v>
      </c>
      <c r="Y288" s="1" t="s">
        <v>44</v>
      </c>
      <c r="Z288" s="1" t="b">
        <v>1</v>
      </c>
      <c r="AA288" s="1"/>
      <c r="AB288" s="1" t="s">
        <v>45</v>
      </c>
      <c r="AC288" s="1"/>
    </row>
    <row r="289" spans="1:29" x14ac:dyDescent="0.35">
      <c r="A289" s="2" t="s">
        <v>27</v>
      </c>
      <c r="B289" s="2" t="s">
        <v>28</v>
      </c>
      <c r="C289" s="2" t="s">
        <v>29</v>
      </c>
      <c r="D289" s="2" t="s">
        <v>30</v>
      </c>
      <c r="E289" s="2" t="s">
        <v>31</v>
      </c>
      <c r="F289" s="2" t="s">
        <v>1103</v>
      </c>
      <c r="G289" s="2" t="s">
        <v>1103</v>
      </c>
      <c r="H289" s="2" t="s">
        <v>54</v>
      </c>
      <c r="I289" s="2" t="s">
        <v>55</v>
      </c>
      <c r="J289" s="2" t="s">
        <v>272</v>
      </c>
      <c r="K289" s="2" t="s">
        <v>1553</v>
      </c>
      <c r="L289" s="2" t="s">
        <v>274</v>
      </c>
      <c r="M289" t="s">
        <v>1053</v>
      </c>
      <c r="N289" t="s">
        <v>618</v>
      </c>
      <c r="O289" t="s">
        <v>1053</v>
      </c>
      <c r="P289" t="s">
        <v>1054</v>
      </c>
      <c r="Q289" s="2" t="s">
        <v>61</v>
      </c>
      <c r="R289" s="2" t="s">
        <v>277</v>
      </c>
      <c r="S289" s="2" t="s">
        <v>63</v>
      </c>
      <c r="T289" s="2" t="s">
        <v>63</v>
      </c>
      <c r="U289" s="2" t="s">
        <v>40</v>
      </c>
      <c r="V289" s="2" t="s">
        <v>41</v>
      </c>
      <c r="W289" s="2" t="s">
        <v>1556</v>
      </c>
      <c r="X289" s="2" t="s">
        <v>1557</v>
      </c>
      <c r="Y289" s="2" t="s">
        <v>44</v>
      </c>
      <c r="Z289" s="2" t="b">
        <v>1</v>
      </c>
      <c r="AA289" s="2"/>
      <c r="AB289" s="2" t="s">
        <v>45</v>
      </c>
      <c r="AC289" s="2"/>
    </row>
    <row r="290" spans="1:29" x14ac:dyDescent="0.35">
      <c r="A290" s="1" t="s">
        <v>27</v>
      </c>
      <c r="B290" s="1" t="s">
        <v>28</v>
      </c>
      <c r="C290" s="1" t="s">
        <v>29</v>
      </c>
      <c r="D290" s="1" t="s">
        <v>30</v>
      </c>
      <c r="E290" s="1" t="s">
        <v>31</v>
      </c>
      <c r="F290" s="1" t="s">
        <v>1103</v>
      </c>
      <c r="G290" s="1" t="s">
        <v>1103</v>
      </c>
      <c r="H290" s="1" t="s">
        <v>54</v>
      </c>
      <c r="I290" s="1" t="s">
        <v>55</v>
      </c>
      <c r="J290" s="1" t="s">
        <v>272</v>
      </c>
      <c r="K290" s="1" t="s">
        <v>1558</v>
      </c>
      <c r="L290" s="1" t="s">
        <v>274</v>
      </c>
      <c r="M290" t="s">
        <v>1058</v>
      </c>
      <c r="N290" t="s">
        <v>618</v>
      </c>
      <c r="O290" t="s">
        <v>1058</v>
      </c>
      <c r="P290" t="s">
        <v>1059</v>
      </c>
      <c r="Q290" s="1" t="s">
        <v>61</v>
      </c>
      <c r="R290" s="1" t="s">
        <v>277</v>
      </c>
      <c r="S290" s="1" t="s">
        <v>63</v>
      </c>
      <c r="T290" s="1" t="s">
        <v>63</v>
      </c>
      <c r="U290" s="1" t="s">
        <v>40</v>
      </c>
      <c r="V290" s="1" t="s">
        <v>41</v>
      </c>
      <c r="W290" s="1" t="s">
        <v>1561</v>
      </c>
      <c r="X290" s="1" t="s">
        <v>1562</v>
      </c>
      <c r="Y290" s="1" t="s">
        <v>44</v>
      </c>
      <c r="Z290" s="1" t="b">
        <v>1</v>
      </c>
      <c r="AA290" s="1"/>
      <c r="AB290" s="1" t="s">
        <v>45</v>
      </c>
      <c r="AC290" s="1"/>
    </row>
    <row r="291" spans="1:29" x14ac:dyDescent="0.35">
      <c r="A291" s="2" t="s">
        <v>27</v>
      </c>
      <c r="B291" s="2" t="s">
        <v>28</v>
      </c>
      <c r="C291" s="2" t="s">
        <v>29</v>
      </c>
      <c r="D291" s="2" t="s">
        <v>30</v>
      </c>
      <c r="E291" s="2" t="s">
        <v>31</v>
      </c>
      <c r="F291" s="2" t="s">
        <v>1103</v>
      </c>
      <c r="G291" s="2" t="s">
        <v>1103</v>
      </c>
      <c r="H291" s="2" t="s">
        <v>54</v>
      </c>
      <c r="I291" s="2" t="s">
        <v>55</v>
      </c>
      <c r="J291" s="2" t="s">
        <v>272</v>
      </c>
      <c r="K291" s="2" t="s">
        <v>1563</v>
      </c>
      <c r="L291" s="2" t="s">
        <v>274</v>
      </c>
      <c r="M291" t="s">
        <v>1063</v>
      </c>
      <c r="N291" t="s">
        <v>618</v>
      </c>
      <c r="O291" t="s">
        <v>1063</v>
      </c>
      <c r="P291" t="s">
        <v>1064</v>
      </c>
      <c r="Q291" s="2" t="s">
        <v>61</v>
      </c>
      <c r="R291" s="2" t="s">
        <v>277</v>
      </c>
      <c r="S291" s="2" t="s">
        <v>63</v>
      </c>
      <c r="T291" s="2" t="s">
        <v>63</v>
      </c>
      <c r="U291" s="2" t="s">
        <v>40</v>
      </c>
      <c r="V291" s="2" t="s">
        <v>41</v>
      </c>
      <c r="W291" s="2" t="s">
        <v>1566</v>
      </c>
      <c r="X291" s="2" t="s">
        <v>1567</v>
      </c>
      <c r="Y291" s="2" t="s">
        <v>44</v>
      </c>
      <c r="Z291" s="2" t="b">
        <v>1</v>
      </c>
      <c r="AA291" s="2"/>
      <c r="AB291" s="2" t="s">
        <v>45</v>
      </c>
      <c r="AC291" s="2"/>
    </row>
    <row r="292" spans="1:29" x14ac:dyDescent="0.35">
      <c r="A292" s="1" t="s">
        <v>27</v>
      </c>
      <c r="B292" s="1" t="s">
        <v>28</v>
      </c>
      <c r="C292" s="1" t="s">
        <v>29</v>
      </c>
      <c r="D292" s="1" t="s">
        <v>30</v>
      </c>
      <c r="E292" s="1" t="s">
        <v>31</v>
      </c>
      <c r="F292" s="1" t="s">
        <v>1103</v>
      </c>
      <c r="G292" s="1" t="s">
        <v>1103</v>
      </c>
      <c r="H292" s="1" t="s">
        <v>54</v>
      </c>
      <c r="I292" s="1" t="s">
        <v>55</v>
      </c>
      <c r="J292" s="1" t="s">
        <v>272</v>
      </c>
      <c r="K292" s="1" t="s">
        <v>1568</v>
      </c>
      <c r="L292" s="1" t="s">
        <v>274</v>
      </c>
      <c r="M292" t="s">
        <v>1068</v>
      </c>
      <c r="N292" t="s">
        <v>618</v>
      </c>
      <c r="O292" t="s">
        <v>1068</v>
      </c>
      <c r="P292" t="s">
        <v>1069</v>
      </c>
      <c r="Q292" s="1" t="s">
        <v>61</v>
      </c>
      <c r="R292" s="1" t="s">
        <v>277</v>
      </c>
      <c r="S292" s="1" t="s">
        <v>63</v>
      </c>
      <c r="T292" s="1" t="s">
        <v>63</v>
      </c>
      <c r="U292" s="1" t="s">
        <v>40</v>
      </c>
      <c r="V292" s="1" t="s">
        <v>41</v>
      </c>
      <c r="W292" s="1" t="s">
        <v>1571</v>
      </c>
      <c r="X292" s="1" t="s">
        <v>1572</v>
      </c>
      <c r="Y292" s="1" t="s">
        <v>44</v>
      </c>
      <c r="Z292" s="1" t="b">
        <v>1</v>
      </c>
      <c r="AA292" s="1"/>
      <c r="AB292" s="1" t="s">
        <v>45</v>
      </c>
      <c r="AC292" s="1"/>
    </row>
    <row r="293" spans="1:29" x14ac:dyDescent="0.35">
      <c r="A293" s="2" t="s">
        <v>27</v>
      </c>
      <c r="B293" s="2" t="s">
        <v>28</v>
      </c>
      <c r="C293" s="2" t="s">
        <v>29</v>
      </c>
      <c r="D293" s="2" t="s">
        <v>30</v>
      </c>
      <c r="E293" s="2" t="s">
        <v>31</v>
      </c>
      <c r="F293" s="2" t="s">
        <v>1103</v>
      </c>
      <c r="G293" s="2" t="s">
        <v>1103</v>
      </c>
      <c r="H293" s="2" t="s">
        <v>54</v>
      </c>
      <c r="I293" s="2" t="s">
        <v>55</v>
      </c>
      <c r="J293" s="2" t="s">
        <v>272</v>
      </c>
      <c r="K293" s="2" t="s">
        <v>1573</v>
      </c>
      <c r="L293" s="2" t="s">
        <v>274</v>
      </c>
      <c r="M293" t="s">
        <v>1073</v>
      </c>
      <c r="N293" t="s">
        <v>618</v>
      </c>
      <c r="O293" t="s">
        <v>1073</v>
      </c>
      <c r="P293" t="s">
        <v>1074</v>
      </c>
      <c r="Q293" s="2" t="s">
        <v>61</v>
      </c>
      <c r="R293" s="2" t="s">
        <v>650</v>
      </c>
      <c r="S293" s="2" t="s">
        <v>63</v>
      </c>
      <c r="T293" s="2" t="s">
        <v>63</v>
      </c>
      <c r="U293" s="2" t="s">
        <v>40</v>
      </c>
      <c r="V293" s="2" t="s">
        <v>41</v>
      </c>
      <c r="W293" s="2" t="s">
        <v>1576</v>
      </c>
      <c r="X293" s="2" t="s">
        <v>1577</v>
      </c>
      <c r="Y293" s="2" t="s">
        <v>44</v>
      </c>
      <c r="Z293" s="2" t="b">
        <v>1</v>
      </c>
      <c r="AA293" s="2"/>
      <c r="AB293" s="2" t="s">
        <v>45</v>
      </c>
      <c r="AC293" s="2"/>
    </row>
    <row r="294" spans="1:29" x14ac:dyDescent="0.35">
      <c r="A294" s="1" t="s">
        <v>27</v>
      </c>
      <c r="B294" s="1" t="s">
        <v>28</v>
      </c>
      <c r="C294" s="1" t="s">
        <v>29</v>
      </c>
      <c r="D294" s="1" t="s">
        <v>30</v>
      </c>
      <c r="E294" s="1" t="s">
        <v>31</v>
      </c>
      <c r="F294" s="1" t="s">
        <v>1103</v>
      </c>
      <c r="G294" s="1" t="s">
        <v>1103</v>
      </c>
      <c r="H294" s="1" t="s">
        <v>54</v>
      </c>
      <c r="I294" s="1" t="s">
        <v>86</v>
      </c>
      <c r="J294" s="1" t="s">
        <v>272</v>
      </c>
      <c r="K294" s="1" t="s">
        <v>1578</v>
      </c>
      <c r="L294" s="1" t="s">
        <v>1503</v>
      </c>
      <c r="M294" t="s">
        <v>1078</v>
      </c>
      <c r="N294" t="s">
        <v>618</v>
      </c>
      <c r="O294" t="s">
        <v>1078</v>
      </c>
      <c r="P294" t="s">
        <v>1079</v>
      </c>
      <c r="Q294" s="1" t="s">
        <v>61</v>
      </c>
      <c r="R294" s="1" t="s">
        <v>136</v>
      </c>
      <c r="S294" s="1" t="s">
        <v>63</v>
      </c>
      <c r="T294" s="1" t="s">
        <v>63</v>
      </c>
      <c r="U294" s="1" t="s">
        <v>40</v>
      </c>
      <c r="V294" s="1" t="s">
        <v>41</v>
      </c>
      <c r="W294" s="1" t="s">
        <v>1581</v>
      </c>
      <c r="X294" s="1" t="s">
        <v>1582</v>
      </c>
      <c r="Y294" s="1" t="s">
        <v>44</v>
      </c>
      <c r="Z294" s="1" t="b">
        <v>1</v>
      </c>
      <c r="AA294" s="1"/>
      <c r="AB294" s="1" t="s">
        <v>45</v>
      </c>
      <c r="AC294" s="1"/>
    </row>
    <row r="295" spans="1:29" x14ac:dyDescent="0.35">
      <c r="A295" s="2" t="s">
        <v>27</v>
      </c>
      <c r="B295" s="2" t="s">
        <v>28</v>
      </c>
      <c r="C295" s="2" t="s">
        <v>29</v>
      </c>
      <c r="D295" s="2" t="s">
        <v>30</v>
      </c>
      <c r="E295" s="2" t="s">
        <v>31</v>
      </c>
      <c r="F295" s="2" t="s">
        <v>1103</v>
      </c>
      <c r="G295" s="2" t="s">
        <v>1103</v>
      </c>
      <c r="H295" s="2" t="s">
        <v>54</v>
      </c>
      <c r="I295" s="2" t="s">
        <v>86</v>
      </c>
      <c r="J295" s="2" t="s">
        <v>272</v>
      </c>
      <c r="K295" s="2" t="s">
        <v>1583</v>
      </c>
      <c r="L295" s="2" t="s">
        <v>274</v>
      </c>
      <c r="M295" t="s">
        <v>1083</v>
      </c>
      <c r="N295" t="s">
        <v>618</v>
      </c>
      <c r="O295" t="s">
        <v>1083</v>
      </c>
      <c r="P295" t="s">
        <v>1084</v>
      </c>
      <c r="Q295" s="2" t="s">
        <v>61</v>
      </c>
      <c r="R295" s="2" t="s">
        <v>277</v>
      </c>
      <c r="S295" s="2" t="s">
        <v>63</v>
      </c>
      <c r="T295" s="2" t="s">
        <v>63</v>
      </c>
      <c r="U295" s="2" t="s">
        <v>40</v>
      </c>
      <c r="V295" s="2" t="s">
        <v>41</v>
      </c>
      <c r="W295" s="2" t="s">
        <v>1586</v>
      </c>
      <c r="X295" s="2" t="s">
        <v>1587</v>
      </c>
      <c r="Y295" s="2" t="s">
        <v>44</v>
      </c>
      <c r="Z295" s="2" t="b">
        <v>1</v>
      </c>
      <c r="AA295" s="2"/>
      <c r="AB295" s="2" t="s">
        <v>45</v>
      </c>
      <c r="AC295" s="2"/>
    </row>
    <row r="296" spans="1:29" x14ac:dyDescent="0.35">
      <c r="A296" s="1" t="s">
        <v>27</v>
      </c>
      <c r="B296" s="1" t="s">
        <v>28</v>
      </c>
      <c r="C296" s="1" t="s">
        <v>29</v>
      </c>
      <c r="D296" s="1" t="s">
        <v>30</v>
      </c>
      <c r="E296" s="1" t="s">
        <v>31</v>
      </c>
      <c r="F296" s="1" t="s">
        <v>1103</v>
      </c>
      <c r="G296" s="1" t="s">
        <v>1103</v>
      </c>
      <c r="H296" s="1" t="s">
        <v>54</v>
      </c>
      <c r="I296" s="1" t="s">
        <v>86</v>
      </c>
      <c r="J296" s="1" t="s">
        <v>272</v>
      </c>
      <c r="K296" s="1" t="s">
        <v>1588</v>
      </c>
      <c r="L296" s="1" t="s">
        <v>274</v>
      </c>
      <c r="M296" t="s">
        <v>1088</v>
      </c>
      <c r="N296" t="s">
        <v>618</v>
      </c>
      <c r="O296" t="s">
        <v>1088</v>
      </c>
      <c r="P296" t="s">
        <v>1089</v>
      </c>
      <c r="Q296" s="1" t="s">
        <v>61</v>
      </c>
      <c r="R296" s="1" t="s">
        <v>277</v>
      </c>
      <c r="S296" s="1" t="s">
        <v>63</v>
      </c>
      <c r="T296" s="1" t="s">
        <v>63</v>
      </c>
      <c r="U296" s="1" t="s">
        <v>40</v>
      </c>
      <c r="V296" s="1" t="s">
        <v>41</v>
      </c>
      <c r="W296" s="1" t="s">
        <v>1591</v>
      </c>
      <c r="X296" s="1" t="s">
        <v>1592</v>
      </c>
      <c r="Y296" s="1" t="s">
        <v>44</v>
      </c>
      <c r="Z296" s="1" t="b">
        <v>1</v>
      </c>
      <c r="AA296" s="1"/>
      <c r="AB296" s="1" t="s">
        <v>45</v>
      </c>
      <c r="AC296" s="1"/>
    </row>
    <row r="297" spans="1:29" x14ac:dyDescent="0.35">
      <c r="A297" s="2" t="s">
        <v>27</v>
      </c>
      <c r="B297" s="2" t="s">
        <v>28</v>
      </c>
      <c r="C297" s="2" t="s">
        <v>29</v>
      </c>
      <c r="D297" s="2" t="s">
        <v>30</v>
      </c>
      <c r="E297" s="2" t="s">
        <v>31</v>
      </c>
      <c r="F297" s="2" t="s">
        <v>1103</v>
      </c>
      <c r="G297" s="2" t="s">
        <v>1103</v>
      </c>
      <c r="H297" s="2" t="s">
        <v>54</v>
      </c>
      <c r="I297" s="2" t="s">
        <v>86</v>
      </c>
      <c r="J297" s="2" t="s">
        <v>272</v>
      </c>
      <c r="K297" s="2" t="s">
        <v>1593</v>
      </c>
      <c r="L297" s="2" t="s">
        <v>274</v>
      </c>
      <c r="M297" t="s">
        <v>1093</v>
      </c>
      <c r="N297" t="s">
        <v>618</v>
      </c>
      <c r="O297" t="s">
        <v>1093</v>
      </c>
      <c r="P297" t="s">
        <v>1094</v>
      </c>
      <c r="Q297" s="2" t="s">
        <v>61</v>
      </c>
      <c r="R297" s="2" t="s">
        <v>277</v>
      </c>
      <c r="S297" s="2" t="s">
        <v>63</v>
      </c>
      <c r="T297" s="2" t="s">
        <v>63</v>
      </c>
      <c r="U297" s="2" t="s">
        <v>40</v>
      </c>
      <c r="V297" s="2" t="s">
        <v>41</v>
      </c>
      <c r="W297" s="2" t="s">
        <v>1596</v>
      </c>
      <c r="X297" s="2" t="s">
        <v>1597</v>
      </c>
      <c r="Y297" s="2" t="s">
        <v>44</v>
      </c>
      <c r="Z297" s="2" t="b">
        <v>1</v>
      </c>
      <c r="AA297" s="2"/>
      <c r="AB297" s="2" t="s">
        <v>45</v>
      </c>
      <c r="AC297" s="2"/>
    </row>
    <row r="298" spans="1:29" x14ac:dyDescent="0.35">
      <c r="A298" s="1" t="s">
        <v>27</v>
      </c>
      <c r="B298" s="1" t="s">
        <v>28</v>
      </c>
      <c r="C298" s="1" t="s">
        <v>29</v>
      </c>
      <c r="D298" s="1" t="s">
        <v>30</v>
      </c>
      <c r="E298" s="1" t="s">
        <v>31</v>
      </c>
      <c r="F298" s="1" t="s">
        <v>1103</v>
      </c>
      <c r="G298" s="1" t="s">
        <v>1103</v>
      </c>
      <c r="H298" s="1" t="s">
        <v>54</v>
      </c>
      <c r="I298" s="1" t="s">
        <v>86</v>
      </c>
      <c r="J298" s="1" t="s">
        <v>272</v>
      </c>
      <c r="K298" s="1" t="s">
        <v>1598</v>
      </c>
      <c r="L298" s="1" t="s">
        <v>274</v>
      </c>
      <c r="M298" t="s">
        <v>2014</v>
      </c>
      <c r="N298" t="s">
        <v>618</v>
      </c>
      <c r="O298" t="s">
        <v>2014</v>
      </c>
      <c r="P298" t="s">
        <v>2015</v>
      </c>
      <c r="Q298" s="1" t="s">
        <v>61</v>
      </c>
      <c r="R298" s="1" t="s">
        <v>277</v>
      </c>
      <c r="S298" s="1" t="s">
        <v>63</v>
      </c>
      <c r="T298" s="1" t="s">
        <v>63</v>
      </c>
      <c r="U298" s="1" t="s">
        <v>40</v>
      </c>
      <c r="V298" s="1" t="s">
        <v>41</v>
      </c>
      <c r="W298" s="1" t="s">
        <v>1601</v>
      </c>
      <c r="X298" s="1" t="s">
        <v>1602</v>
      </c>
      <c r="Y298" s="1" t="s">
        <v>44</v>
      </c>
      <c r="Z298" s="1" t="b">
        <v>1</v>
      </c>
      <c r="AA298" s="1"/>
      <c r="AB298" s="1" t="s">
        <v>45</v>
      </c>
      <c r="AC298" s="1"/>
    </row>
    <row r="299" spans="1:29" x14ac:dyDescent="0.35">
      <c r="A299" s="2" t="s">
        <v>27</v>
      </c>
      <c r="B299" s="2" t="s">
        <v>28</v>
      </c>
      <c r="C299" s="2" t="s">
        <v>29</v>
      </c>
      <c r="D299" s="2" t="s">
        <v>30</v>
      </c>
      <c r="E299" s="2" t="s">
        <v>31</v>
      </c>
      <c r="F299" s="2" t="s">
        <v>1103</v>
      </c>
      <c r="G299" s="2" t="s">
        <v>1103</v>
      </c>
      <c r="H299" s="2" t="s">
        <v>54</v>
      </c>
      <c r="I299" s="2" t="s">
        <v>86</v>
      </c>
      <c r="J299" s="2" t="s">
        <v>272</v>
      </c>
      <c r="K299" s="2" t="s">
        <v>1603</v>
      </c>
      <c r="L299" s="2" t="s">
        <v>274</v>
      </c>
      <c r="M299" t="s">
        <v>2016</v>
      </c>
      <c r="N299" t="s">
        <v>618</v>
      </c>
      <c r="O299" t="s">
        <v>2016</v>
      </c>
      <c r="P299" t="s">
        <v>2017</v>
      </c>
      <c r="Q299" s="2" t="s">
        <v>61</v>
      </c>
      <c r="R299" s="2" t="s">
        <v>277</v>
      </c>
      <c r="S299" s="2" t="s">
        <v>63</v>
      </c>
      <c r="T299" s="2" t="s">
        <v>63</v>
      </c>
      <c r="U299" s="2" t="s">
        <v>40</v>
      </c>
      <c r="V299" s="2" t="s">
        <v>41</v>
      </c>
      <c r="W299" s="2" t="s">
        <v>1606</v>
      </c>
      <c r="X299" s="2" t="s">
        <v>1607</v>
      </c>
      <c r="Y299" s="2" t="s">
        <v>44</v>
      </c>
      <c r="Z299" s="2" t="b">
        <v>1</v>
      </c>
      <c r="AA299" s="2"/>
      <c r="AB299" s="2" t="s">
        <v>45</v>
      </c>
      <c r="AC299" s="2"/>
    </row>
    <row r="300" spans="1:29" x14ac:dyDescent="0.35">
      <c r="A300" s="1" t="s">
        <v>27</v>
      </c>
      <c r="B300" s="1" t="s">
        <v>28</v>
      </c>
      <c r="C300" s="1" t="s">
        <v>29</v>
      </c>
      <c r="D300" s="1" t="s">
        <v>30</v>
      </c>
      <c r="E300" s="1" t="s">
        <v>31</v>
      </c>
      <c r="F300" s="1" t="s">
        <v>1103</v>
      </c>
      <c r="G300" s="1" t="s">
        <v>1103</v>
      </c>
      <c r="H300" s="1" t="s">
        <v>54</v>
      </c>
      <c r="I300" s="1" t="s">
        <v>86</v>
      </c>
      <c r="J300" s="1" t="s">
        <v>272</v>
      </c>
      <c r="K300" s="1" t="s">
        <v>1608</v>
      </c>
      <c r="L300" s="1" t="s">
        <v>274</v>
      </c>
      <c r="M300" t="s">
        <v>1099</v>
      </c>
      <c r="N300" t="s">
        <v>1097</v>
      </c>
      <c r="O300" t="s">
        <v>1099</v>
      </c>
      <c r="P300" t="s">
        <v>1100</v>
      </c>
      <c r="Q300" s="1" t="s">
        <v>61</v>
      </c>
      <c r="R300" s="1" t="s">
        <v>277</v>
      </c>
      <c r="S300" s="1" t="s">
        <v>63</v>
      </c>
      <c r="T300" s="1" t="s">
        <v>63</v>
      </c>
      <c r="U300" s="1" t="s">
        <v>40</v>
      </c>
      <c r="V300" s="1" t="s">
        <v>41</v>
      </c>
      <c r="W300" s="1" t="s">
        <v>1611</v>
      </c>
      <c r="X300" s="1" t="s">
        <v>1612</v>
      </c>
      <c r="Y300" s="1" t="s">
        <v>44</v>
      </c>
      <c r="Z300" s="1" t="b">
        <v>1</v>
      </c>
      <c r="AA300" s="1"/>
      <c r="AB300" s="1" t="s">
        <v>45</v>
      </c>
      <c r="AC300" s="1"/>
    </row>
    <row r="301" spans="1:29" x14ac:dyDescent="0.35">
      <c r="A301" s="2" t="s">
        <v>27</v>
      </c>
      <c r="B301" s="2" t="s">
        <v>28</v>
      </c>
      <c r="C301" s="2" t="s">
        <v>29</v>
      </c>
      <c r="D301" s="2" t="s">
        <v>30</v>
      </c>
      <c r="E301" s="2" t="s">
        <v>31</v>
      </c>
      <c r="F301" s="2" t="s">
        <v>1103</v>
      </c>
      <c r="G301" s="2" t="s">
        <v>1103</v>
      </c>
      <c r="H301" s="2" t="s">
        <v>54</v>
      </c>
      <c r="I301" s="2" t="s">
        <v>86</v>
      </c>
      <c r="J301" s="2" t="s">
        <v>272</v>
      </c>
      <c r="K301" s="2" t="s">
        <v>1613</v>
      </c>
      <c r="L301" s="2" t="s">
        <v>274</v>
      </c>
      <c r="M301" t="s">
        <v>2018</v>
      </c>
      <c r="N301" t="s">
        <v>2019</v>
      </c>
      <c r="O301" t="s">
        <v>2018</v>
      </c>
      <c r="P301" t="s">
        <v>2020</v>
      </c>
      <c r="Q301" s="2" t="s">
        <v>61</v>
      </c>
      <c r="R301" s="2" t="s">
        <v>277</v>
      </c>
      <c r="S301" s="2" t="s">
        <v>63</v>
      </c>
      <c r="T301" s="2" t="s">
        <v>63</v>
      </c>
      <c r="U301" s="2" t="s">
        <v>40</v>
      </c>
      <c r="V301" s="2" t="s">
        <v>41</v>
      </c>
      <c r="W301" s="2" t="s">
        <v>1616</v>
      </c>
      <c r="X301" s="2" t="s">
        <v>1617</v>
      </c>
      <c r="Y301" s="2" t="s">
        <v>44</v>
      </c>
      <c r="Z301" s="2" t="b">
        <v>1</v>
      </c>
      <c r="AA301" s="2"/>
      <c r="AB301" s="2" t="s">
        <v>45</v>
      </c>
      <c r="AC301" s="2"/>
    </row>
    <row r="302" spans="1:29" x14ac:dyDescent="0.35">
      <c r="A302" s="1" t="s">
        <v>27</v>
      </c>
      <c r="B302" s="1" t="s">
        <v>28</v>
      </c>
      <c r="C302" s="1" t="s">
        <v>29</v>
      </c>
      <c r="D302" s="1" t="s">
        <v>30</v>
      </c>
      <c r="E302" s="1" t="s">
        <v>31</v>
      </c>
      <c r="F302" s="1" t="s">
        <v>1103</v>
      </c>
      <c r="G302" s="1" t="s">
        <v>1103</v>
      </c>
      <c r="H302" s="1" t="s">
        <v>54</v>
      </c>
      <c r="I302" s="1" t="s">
        <v>86</v>
      </c>
      <c r="J302" s="1" t="s">
        <v>272</v>
      </c>
      <c r="K302" s="1" t="s">
        <v>1618</v>
      </c>
      <c r="L302" s="1" t="s">
        <v>274</v>
      </c>
      <c r="M302" t="s">
        <v>1106</v>
      </c>
      <c r="N302" t="s">
        <v>1103</v>
      </c>
      <c r="O302" t="s">
        <v>1106</v>
      </c>
      <c r="P302" t="s">
        <v>1107</v>
      </c>
      <c r="Q302" s="1" t="s">
        <v>61</v>
      </c>
      <c r="R302" s="1" t="s">
        <v>277</v>
      </c>
      <c r="S302" s="1" t="s">
        <v>63</v>
      </c>
      <c r="T302" s="1" t="s">
        <v>63</v>
      </c>
      <c r="U302" s="1" t="s">
        <v>40</v>
      </c>
      <c r="V302" s="1" t="s">
        <v>41</v>
      </c>
      <c r="W302" s="1" t="s">
        <v>1621</v>
      </c>
      <c r="X302" s="1" t="s">
        <v>1622</v>
      </c>
      <c r="Y302" s="1" t="s">
        <v>44</v>
      </c>
      <c r="Z302" s="1" t="b">
        <v>1</v>
      </c>
      <c r="AA302" s="1"/>
      <c r="AB302" s="1" t="s">
        <v>45</v>
      </c>
      <c r="AC302" s="1"/>
    </row>
    <row r="303" spans="1:29" x14ac:dyDescent="0.35">
      <c r="A303" s="2" t="s">
        <v>27</v>
      </c>
      <c r="B303" s="2" t="s">
        <v>28</v>
      </c>
      <c r="C303" s="2" t="s">
        <v>29</v>
      </c>
      <c r="D303" s="2" t="s">
        <v>30</v>
      </c>
      <c r="E303" s="2" t="s">
        <v>31</v>
      </c>
      <c r="F303" s="2" t="s">
        <v>1103</v>
      </c>
      <c r="G303" s="2" t="s">
        <v>1103</v>
      </c>
      <c r="H303" s="2" t="s">
        <v>54</v>
      </c>
      <c r="I303" s="2" t="s">
        <v>86</v>
      </c>
      <c r="J303" s="2" t="s">
        <v>272</v>
      </c>
      <c r="K303" s="2" t="s">
        <v>1623</v>
      </c>
      <c r="L303" s="2" t="s">
        <v>274</v>
      </c>
      <c r="M303" t="s">
        <v>1111</v>
      </c>
      <c r="N303" t="s">
        <v>1103</v>
      </c>
      <c r="O303" t="s">
        <v>1111</v>
      </c>
      <c r="P303" t="s">
        <v>1112</v>
      </c>
      <c r="Q303" s="2" t="s">
        <v>61</v>
      </c>
      <c r="R303" s="2" t="s">
        <v>277</v>
      </c>
      <c r="S303" s="2" t="s">
        <v>63</v>
      </c>
      <c r="T303" s="2" t="s">
        <v>63</v>
      </c>
      <c r="U303" s="2" t="s">
        <v>40</v>
      </c>
      <c r="V303" s="2" t="s">
        <v>41</v>
      </c>
      <c r="W303" s="2" t="s">
        <v>1626</v>
      </c>
      <c r="X303" s="2" t="s">
        <v>1627</v>
      </c>
      <c r="Y303" s="2" t="s">
        <v>44</v>
      </c>
      <c r="Z303" s="2" t="b">
        <v>1</v>
      </c>
      <c r="AA303" s="2"/>
      <c r="AB303" s="2" t="s">
        <v>45</v>
      </c>
      <c r="AC303" s="2"/>
    </row>
    <row r="304" spans="1:29" x14ac:dyDescent="0.35">
      <c r="A304" s="1" t="s">
        <v>27</v>
      </c>
      <c r="B304" s="1" t="s">
        <v>28</v>
      </c>
      <c r="C304" s="1" t="s">
        <v>29</v>
      </c>
      <c r="D304" s="1" t="s">
        <v>30</v>
      </c>
      <c r="E304" s="1" t="s">
        <v>31</v>
      </c>
      <c r="F304" s="1" t="s">
        <v>1103</v>
      </c>
      <c r="G304" s="1" t="s">
        <v>1103</v>
      </c>
      <c r="H304" s="1" t="s">
        <v>54</v>
      </c>
      <c r="I304" s="1" t="s">
        <v>86</v>
      </c>
      <c r="J304" s="1" t="s">
        <v>272</v>
      </c>
      <c r="K304" s="1" t="s">
        <v>1628</v>
      </c>
      <c r="L304" s="1" t="s">
        <v>274</v>
      </c>
      <c r="M304" t="s">
        <v>1116</v>
      </c>
      <c r="N304" t="s">
        <v>1103</v>
      </c>
      <c r="O304" t="s">
        <v>1116</v>
      </c>
      <c r="P304" t="s">
        <v>1117</v>
      </c>
      <c r="Q304" s="1" t="s">
        <v>61</v>
      </c>
      <c r="R304" s="1" t="s">
        <v>277</v>
      </c>
      <c r="S304" s="1" t="s">
        <v>63</v>
      </c>
      <c r="T304" s="1" t="s">
        <v>63</v>
      </c>
      <c r="U304" s="1" t="s">
        <v>40</v>
      </c>
      <c r="V304" s="1" t="s">
        <v>41</v>
      </c>
      <c r="W304" s="1" t="s">
        <v>1631</v>
      </c>
      <c r="X304" s="1" t="s">
        <v>1632</v>
      </c>
      <c r="Y304" s="1" t="s">
        <v>44</v>
      </c>
      <c r="Z304" s="1" t="b">
        <v>1</v>
      </c>
      <c r="AA304" s="1"/>
      <c r="AB304" s="1" t="s">
        <v>45</v>
      </c>
      <c r="AC304" s="1"/>
    </row>
    <row r="305" spans="1:29" x14ac:dyDescent="0.35">
      <c r="A305" s="2" t="s">
        <v>27</v>
      </c>
      <c r="B305" s="2" t="s">
        <v>28</v>
      </c>
      <c r="C305" s="2" t="s">
        <v>29</v>
      </c>
      <c r="D305" s="2" t="s">
        <v>30</v>
      </c>
      <c r="E305" s="2" t="s">
        <v>31</v>
      </c>
      <c r="F305" s="2" t="s">
        <v>1103</v>
      </c>
      <c r="G305" s="2" t="s">
        <v>1103</v>
      </c>
      <c r="H305" s="2" t="s">
        <v>54</v>
      </c>
      <c r="I305" s="2" t="s">
        <v>86</v>
      </c>
      <c r="J305" s="2" t="s">
        <v>272</v>
      </c>
      <c r="K305" s="2" t="s">
        <v>1633</v>
      </c>
      <c r="L305" s="2" t="s">
        <v>274</v>
      </c>
      <c r="M305" t="s">
        <v>1121</v>
      </c>
      <c r="N305" t="s">
        <v>1103</v>
      </c>
      <c r="O305" t="s">
        <v>1121</v>
      </c>
      <c r="P305" t="s">
        <v>1122</v>
      </c>
      <c r="Q305" s="2" t="s">
        <v>61</v>
      </c>
      <c r="R305" s="2" t="s">
        <v>277</v>
      </c>
      <c r="S305" s="2" t="s">
        <v>63</v>
      </c>
      <c r="T305" s="2" t="s">
        <v>63</v>
      </c>
      <c r="U305" s="2" t="s">
        <v>40</v>
      </c>
      <c r="V305" s="2" t="s">
        <v>41</v>
      </c>
      <c r="W305" s="2" t="s">
        <v>1636</v>
      </c>
      <c r="X305" s="2" t="s">
        <v>1637</v>
      </c>
      <c r="Y305" s="2" t="s">
        <v>44</v>
      </c>
      <c r="Z305" s="2" t="b">
        <v>1</v>
      </c>
      <c r="AA305" s="2"/>
      <c r="AB305" s="2" t="s">
        <v>45</v>
      </c>
      <c r="AC305" s="2"/>
    </row>
    <row r="306" spans="1:29" x14ac:dyDescent="0.35">
      <c r="A306" s="1" t="s">
        <v>27</v>
      </c>
      <c r="B306" s="1" t="s">
        <v>28</v>
      </c>
      <c r="C306" s="1" t="s">
        <v>29</v>
      </c>
      <c r="D306" s="1" t="s">
        <v>30</v>
      </c>
      <c r="E306" s="1" t="s">
        <v>31</v>
      </c>
      <c r="F306" s="1" t="s">
        <v>1103</v>
      </c>
      <c r="G306" s="1" t="s">
        <v>1103</v>
      </c>
      <c r="H306" s="1" t="s">
        <v>54</v>
      </c>
      <c r="I306" s="1" t="s">
        <v>86</v>
      </c>
      <c r="J306" s="1" t="s">
        <v>272</v>
      </c>
      <c r="K306" s="1" t="s">
        <v>1638</v>
      </c>
      <c r="L306" s="1" t="s">
        <v>274</v>
      </c>
      <c r="M306" t="s">
        <v>1126</v>
      </c>
      <c r="N306" t="s">
        <v>1103</v>
      </c>
      <c r="O306" t="s">
        <v>1126</v>
      </c>
      <c r="P306" t="s">
        <v>1127</v>
      </c>
      <c r="Q306" s="1" t="s">
        <v>61</v>
      </c>
      <c r="R306" s="1" t="s">
        <v>277</v>
      </c>
      <c r="S306" s="1" t="s">
        <v>63</v>
      </c>
      <c r="T306" s="1" t="s">
        <v>63</v>
      </c>
      <c r="U306" s="1" t="s">
        <v>40</v>
      </c>
      <c r="V306" s="1" t="s">
        <v>41</v>
      </c>
      <c r="W306" s="1" t="s">
        <v>1641</v>
      </c>
      <c r="X306" s="1" t="s">
        <v>1642</v>
      </c>
      <c r="Y306" s="1" t="s">
        <v>44</v>
      </c>
      <c r="Z306" s="1" t="b">
        <v>1</v>
      </c>
      <c r="AA306" s="1"/>
      <c r="AB306" s="1" t="s">
        <v>45</v>
      </c>
      <c r="AC306" s="1"/>
    </row>
    <row r="307" spans="1:29" x14ac:dyDescent="0.35">
      <c r="A307" s="2" t="s">
        <v>27</v>
      </c>
      <c r="B307" s="2" t="s">
        <v>28</v>
      </c>
      <c r="C307" s="2" t="s">
        <v>29</v>
      </c>
      <c r="D307" s="2" t="s">
        <v>30</v>
      </c>
      <c r="E307" s="2" t="s">
        <v>31</v>
      </c>
      <c r="F307" s="2" t="s">
        <v>1103</v>
      </c>
      <c r="G307" s="2" t="s">
        <v>1103</v>
      </c>
      <c r="H307" s="2" t="s">
        <v>54</v>
      </c>
      <c r="I307" s="2" t="s">
        <v>86</v>
      </c>
      <c r="J307" s="2" t="s">
        <v>272</v>
      </c>
      <c r="K307" s="2" t="s">
        <v>1643</v>
      </c>
      <c r="L307" s="2" t="s">
        <v>274</v>
      </c>
      <c r="M307" t="s">
        <v>1131</v>
      </c>
      <c r="N307" t="s">
        <v>1103</v>
      </c>
      <c r="O307" t="s">
        <v>1131</v>
      </c>
      <c r="P307" t="s">
        <v>1132</v>
      </c>
      <c r="Q307" s="2" t="s">
        <v>61</v>
      </c>
      <c r="R307" s="2" t="s">
        <v>277</v>
      </c>
      <c r="S307" s="2" t="s">
        <v>63</v>
      </c>
      <c r="T307" s="2" t="s">
        <v>63</v>
      </c>
      <c r="U307" s="2" t="s">
        <v>40</v>
      </c>
      <c r="V307" s="2" t="s">
        <v>41</v>
      </c>
      <c r="W307" s="2" t="s">
        <v>1646</v>
      </c>
      <c r="X307" s="2" t="s">
        <v>1647</v>
      </c>
      <c r="Y307" s="2" t="s">
        <v>44</v>
      </c>
      <c r="Z307" s="2" t="b">
        <v>1</v>
      </c>
      <c r="AA307" s="2"/>
      <c r="AB307" s="2" t="s">
        <v>45</v>
      </c>
      <c r="AC307" s="2"/>
    </row>
    <row r="308" spans="1:29" x14ac:dyDescent="0.35">
      <c r="A308" s="1" t="s">
        <v>27</v>
      </c>
      <c r="B308" s="1" t="s">
        <v>28</v>
      </c>
      <c r="C308" s="1" t="s">
        <v>29</v>
      </c>
      <c r="D308" s="1" t="s">
        <v>30</v>
      </c>
      <c r="E308" s="1" t="s">
        <v>31</v>
      </c>
      <c r="F308" s="1" t="s">
        <v>1103</v>
      </c>
      <c r="G308" s="1" t="s">
        <v>1103</v>
      </c>
      <c r="H308" s="1" t="s">
        <v>54</v>
      </c>
      <c r="I308" s="1" t="s">
        <v>86</v>
      </c>
      <c r="J308" s="1" t="s">
        <v>308</v>
      </c>
      <c r="K308" s="1" t="s">
        <v>1648</v>
      </c>
      <c r="L308" s="1" t="s">
        <v>310</v>
      </c>
      <c r="M308" t="s">
        <v>1136</v>
      </c>
      <c r="N308" t="s">
        <v>1103</v>
      </c>
      <c r="O308" t="s">
        <v>1136</v>
      </c>
      <c r="P308" t="s">
        <v>1137</v>
      </c>
      <c r="Q308" s="1" t="s">
        <v>61</v>
      </c>
      <c r="R308" s="1" t="s">
        <v>184</v>
      </c>
      <c r="S308" s="1" t="s">
        <v>63</v>
      </c>
      <c r="T308" s="1" t="s">
        <v>63</v>
      </c>
      <c r="U308" s="1" t="s">
        <v>40</v>
      </c>
      <c r="V308" s="1" t="s">
        <v>41</v>
      </c>
      <c r="W308" s="1" t="s">
        <v>1651</v>
      </c>
      <c r="X308" s="1" t="s">
        <v>1652</v>
      </c>
      <c r="Y308" s="1" t="s">
        <v>44</v>
      </c>
      <c r="Z308" s="1" t="b">
        <v>1</v>
      </c>
      <c r="AA308" s="1"/>
      <c r="AB308" s="1" t="s">
        <v>45</v>
      </c>
      <c r="AC308" s="1"/>
    </row>
    <row r="309" spans="1:29" x14ac:dyDescent="0.35">
      <c r="A309" s="2" t="s">
        <v>27</v>
      </c>
      <c r="B309" s="2" t="s">
        <v>28</v>
      </c>
      <c r="C309" s="2" t="s">
        <v>29</v>
      </c>
      <c r="D309" s="2" t="s">
        <v>30</v>
      </c>
      <c r="E309" s="2" t="s">
        <v>31</v>
      </c>
      <c r="F309" s="2" t="s">
        <v>1103</v>
      </c>
      <c r="G309" s="2" t="s">
        <v>1103</v>
      </c>
      <c r="H309" s="2" t="s">
        <v>54</v>
      </c>
      <c r="I309" s="2" t="s">
        <v>86</v>
      </c>
      <c r="J309" s="2" t="s">
        <v>308</v>
      </c>
      <c r="K309" s="2" t="s">
        <v>1653</v>
      </c>
      <c r="L309" s="2" t="s">
        <v>310</v>
      </c>
      <c r="M309" t="s">
        <v>1141</v>
      </c>
      <c r="N309" t="s">
        <v>1103</v>
      </c>
      <c r="O309" t="s">
        <v>1141</v>
      </c>
      <c r="P309" t="s">
        <v>1142</v>
      </c>
      <c r="Q309" s="2" t="s">
        <v>61</v>
      </c>
      <c r="R309" s="2" t="s">
        <v>914</v>
      </c>
      <c r="S309" s="2" t="s">
        <v>63</v>
      </c>
      <c r="T309" s="2" t="s">
        <v>63</v>
      </c>
      <c r="U309" s="2" t="s">
        <v>40</v>
      </c>
      <c r="V309" s="2" t="s">
        <v>41</v>
      </c>
      <c r="W309" s="2" t="s">
        <v>1656</v>
      </c>
      <c r="X309" s="2" t="s">
        <v>1657</v>
      </c>
      <c r="Y309" s="2" t="s">
        <v>44</v>
      </c>
      <c r="Z309" s="2" t="b">
        <v>1</v>
      </c>
      <c r="AA309" s="2"/>
      <c r="AB309" s="2" t="s">
        <v>45</v>
      </c>
      <c r="AC309" s="2"/>
    </row>
    <row r="310" spans="1:29" x14ac:dyDescent="0.35">
      <c r="A310" s="1" t="s">
        <v>27</v>
      </c>
      <c r="B310" s="1" t="s">
        <v>28</v>
      </c>
      <c r="C310" s="1" t="s">
        <v>29</v>
      </c>
      <c r="D310" s="1" t="s">
        <v>30</v>
      </c>
      <c r="E310" s="1" t="s">
        <v>31</v>
      </c>
      <c r="F310" s="1" t="s">
        <v>1103</v>
      </c>
      <c r="G310" s="1" t="s">
        <v>1103</v>
      </c>
      <c r="H310" s="1" t="s">
        <v>54</v>
      </c>
      <c r="I310" s="1" t="s">
        <v>86</v>
      </c>
      <c r="J310" s="1" t="s">
        <v>308</v>
      </c>
      <c r="K310" s="1" t="s">
        <v>1658</v>
      </c>
      <c r="L310" s="1" t="s">
        <v>310</v>
      </c>
      <c r="M310" t="s">
        <v>1146</v>
      </c>
      <c r="N310" t="s">
        <v>1103</v>
      </c>
      <c r="O310" t="s">
        <v>1146</v>
      </c>
      <c r="P310" t="s">
        <v>1147</v>
      </c>
      <c r="Q310" s="1" t="s">
        <v>61</v>
      </c>
      <c r="R310" s="1" t="s">
        <v>639</v>
      </c>
      <c r="S310" s="1" t="s">
        <v>63</v>
      </c>
      <c r="T310" s="1" t="s">
        <v>63</v>
      </c>
      <c r="U310" s="1" t="s">
        <v>40</v>
      </c>
      <c r="V310" s="1" t="s">
        <v>41</v>
      </c>
      <c r="W310" s="1" t="s">
        <v>1661</v>
      </c>
      <c r="X310" s="1" t="s">
        <v>1662</v>
      </c>
      <c r="Y310" s="1" t="s">
        <v>44</v>
      </c>
      <c r="Z310" s="1" t="b">
        <v>1</v>
      </c>
      <c r="AA310" s="1"/>
      <c r="AB310" s="1" t="s">
        <v>45</v>
      </c>
      <c r="AC310" s="1"/>
    </row>
    <row r="311" spans="1:29" x14ac:dyDescent="0.35">
      <c r="M311" t="s">
        <v>1151</v>
      </c>
      <c r="N311" t="s">
        <v>1103</v>
      </c>
      <c r="O311" t="s">
        <v>1151</v>
      </c>
      <c r="P311" t="s">
        <v>1152</v>
      </c>
    </row>
    <row r="312" spans="1:29" x14ac:dyDescent="0.35">
      <c r="M312" t="s">
        <v>1156</v>
      </c>
      <c r="N312" t="s">
        <v>1103</v>
      </c>
      <c r="O312" t="s">
        <v>1156</v>
      </c>
      <c r="P312" t="s">
        <v>1157</v>
      </c>
    </row>
    <row r="313" spans="1:29" x14ac:dyDescent="0.35">
      <c r="M313" t="s">
        <v>1161</v>
      </c>
      <c r="N313" t="s">
        <v>1103</v>
      </c>
      <c r="O313" t="s">
        <v>1161</v>
      </c>
      <c r="P313" t="s">
        <v>1162</v>
      </c>
    </row>
    <row r="314" spans="1:29" x14ac:dyDescent="0.35">
      <c r="M314" t="s">
        <v>1166</v>
      </c>
      <c r="N314" t="s">
        <v>1103</v>
      </c>
      <c r="O314" t="s">
        <v>1166</v>
      </c>
      <c r="P314" t="s">
        <v>1167</v>
      </c>
    </row>
    <row r="315" spans="1:29" x14ac:dyDescent="0.35">
      <c r="M315" t="s">
        <v>1171</v>
      </c>
      <c r="N315" t="s">
        <v>1103</v>
      </c>
      <c r="O315" t="s">
        <v>1171</v>
      </c>
      <c r="P315" t="s">
        <v>1172</v>
      </c>
    </row>
    <row r="316" spans="1:29" x14ac:dyDescent="0.35">
      <c r="M316" t="s">
        <v>1177</v>
      </c>
      <c r="N316" t="s">
        <v>1103</v>
      </c>
      <c r="O316" t="s">
        <v>1177</v>
      </c>
      <c r="P316" t="s">
        <v>1178</v>
      </c>
    </row>
    <row r="317" spans="1:29" x14ac:dyDescent="0.35">
      <c r="M317" t="s">
        <v>1182</v>
      </c>
      <c r="N317" t="s">
        <v>1103</v>
      </c>
      <c r="O317" t="s">
        <v>1182</v>
      </c>
      <c r="P317" t="s">
        <v>1183</v>
      </c>
    </row>
    <row r="318" spans="1:29" x14ac:dyDescent="0.35">
      <c r="M318" t="s">
        <v>1187</v>
      </c>
      <c r="N318" t="s">
        <v>1103</v>
      </c>
      <c r="O318" t="s">
        <v>1187</v>
      </c>
      <c r="P318" t="s">
        <v>1188</v>
      </c>
    </row>
    <row r="319" spans="1:29" x14ac:dyDescent="0.35">
      <c r="M319" t="s">
        <v>1192</v>
      </c>
      <c r="N319" t="s">
        <v>1103</v>
      </c>
      <c r="O319" t="s">
        <v>1192</v>
      </c>
      <c r="P319" t="s">
        <v>1193</v>
      </c>
    </row>
    <row r="320" spans="1:29" x14ac:dyDescent="0.35">
      <c r="M320" t="s">
        <v>1197</v>
      </c>
      <c r="N320" t="s">
        <v>1103</v>
      </c>
      <c r="O320" t="s">
        <v>1197</v>
      </c>
      <c r="P320" t="s">
        <v>1198</v>
      </c>
    </row>
    <row r="321" spans="13:16" x14ac:dyDescent="0.35">
      <c r="M321" t="s">
        <v>1202</v>
      </c>
      <c r="N321" t="s">
        <v>1103</v>
      </c>
      <c r="O321" t="s">
        <v>1202</v>
      </c>
      <c r="P321" t="s">
        <v>1203</v>
      </c>
    </row>
    <row r="322" spans="13:16" x14ac:dyDescent="0.35">
      <c r="M322" t="s">
        <v>1207</v>
      </c>
      <c r="N322" t="s">
        <v>1103</v>
      </c>
      <c r="O322" t="s">
        <v>1207</v>
      </c>
      <c r="P322" t="s">
        <v>1208</v>
      </c>
    </row>
    <row r="323" spans="13:16" x14ac:dyDescent="0.35">
      <c r="M323" t="s">
        <v>1212</v>
      </c>
      <c r="N323" t="s">
        <v>1103</v>
      </c>
      <c r="O323" t="s">
        <v>1212</v>
      </c>
      <c r="P323" t="s">
        <v>1213</v>
      </c>
    </row>
    <row r="324" spans="13:16" x14ac:dyDescent="0.35">
      <c r="M324" t="s">
        <v>1217</v>
      </c>
      <c r="N324" t="s">
        <v>1103</v>
      </c>
      <c r="O324" t="s">
        <v>1217</v>
      </c>
      <c r="P324" t="s">
        <v>1218</v>
      </c>
    </row>
    <row r="325" spans="13:16" x14ac:dyDescent="0.35">
      <c r="M325" t="s">
        <v>1222</v>
      </c>
      <c r="N325" t="s">
        <v>1103</v>
      </c>
      <c r="O325" t="s">
        <v>1222</v>
      </c>
      <c r="P325" t="s">
        <v>1223</v>
      </c>
    </row>
    <row r="326" spans="13:16" x14ac:dyDescent="0.35">
      <c r="M326" t="s">
        <v>1227</v>
      </c>
      <c r="N326" t="s">
        <v>1103</v>
      </c>
      <c r="O326" t="s">
        <v>1227</v>
      </c>
      <c r="P326" t="s">
        <v>1228</v>
      </c>
    </row>
    <row r="327" spans="13:16" x14ac:dyDescent="0.35">
      <c r="M327" t="s">
        <v>1232</v>
      </c>
      <c r="N327" t="s">
        <v>1103</v>
      </c>
      <c r="O327" t="s">
        <v>1232</v>
      </c>
      <c r="P327" t="s">
        <v>1233</v>
      </c>
    </row>
    <row r="328" spans="13:16" x14ac:dyDescent="0.35">
      <c r="M328" t="s">
        <v>2021</v>
      </c>
      <c r="N328" t="s">
        <v>1103</v>
      </c>
      <c r="O328" t="s">
        <v>2021</v>
      </c>
      <c r="P328" t="s">
        <v>2022</v>
      </c>
    </row>
    <row r="329" spans="13:16" x14ac:dyDescent="0.35">
      <c r="M329" t="s">
        <v>1237</v>
      </c>
      <c r="N329" t="s">
        <v>1103</v>
      </c>
      <c r="O329" t="s">
        <v>1237</v>
      </c>
      <c r="P329" t="s">
        <v>1238</v>
      </c>
    </row>
    <row r="330" spans="13:16" x14ac:dyDescent="0.35">
      <c r="M330" t="s">
        <v>1242</v>
      </c>
      <c r="N330" t="s">
        <v>1103</v>
      </c>
      <c r="O330" t="s">
        <v>1242</v>
      </c>
      <c r="P330" t="s">
        <v>1243</v>
      </c>
    </row>
    <row r="331" spans="13:16" x14ac:dyDescent="0.35">
      <c r="M331" t="s">
        <v>1247</v>
      </c>
      <c r="N331" t="s">
        <v>1103</v>
      </c>
      <c r="O331" t="s">
        <v>1247</v>
      </c>
      <c r="P331" t="s">
        <v>1248</v>
      </c>
    </row>
    <row r="332" spans="13:16" x14ac:dyDescent="0.35">
      <c r="M332" t="s">
        <v>1252</v>
      </c>
      <c r="N332" t="s">
        <v>1103</v>
      </c>
      <c r="O332" t="s">
        <v>1252</v>
      </c>
      <c r="P332" t="s">
        <v>1253</v>
      </c>
    </row>
    <row r="333" spans="13:16" x14ac:dyDescent="0.35">
      <c r="M333" t="s">
        <v>1257</v>
      </c>
      <c r="N333" t="s">
        <v>1103</v>
      </c>
      <c r="O333" t="s">
        <v>1257</v>
      </c>
      <c r="P333" t="s">
        <v>1258</v>
      </c>
    </row>
    <row r="334" spans="13:16" x14ac:dyDescent="0.35">
      <c r="M334" t="s">
        <v>1262</v>
      </c>
      <c r="N334" t="s">
        <v>1103</v>
      </c>
      <c r="O334" t="s">
        <v>1262</v>
      </c>
      <c r="P334" t="s">
        <v>1263</v>
      </c>
    </row>
    <row r="335" spans="13:16" x14ac:dyDescent="0.35">
      <c r="M335" t="s">
        <v>1267</v>
      </c>
      <c r="N335" t="s">
        <v>1103</v>
      </c>
      <c r="O335" t="s">
        <v>1267</v>
      </c>
      <c r="P335" t="s">
        <v>1268</v>
      </c>
    </row>
    <row r="336" spans="13:16" x14ac:dyDescent="0.35">
      <c r="M336" t="s">
        <v>1272</v>
      </c>
      <c r="N336" t="s">
        <v>1103</v>
      </c>
      <c r="O336" t="s">
        <v>1272</v>
      </c>
      <c r="P336" t="s">
        <v>1273</v>
      </c>
    </row>
    <row r="337" spans="13:16" x14ac:dyDescent="0.35">
      <c r="M337" t="s">
        <v>1277</v>
      </c>
      <c r="N337" t="s">
        <v>1103</v>
      </c>
      <c r="O337" t="s">
        <v>1277</v>
      </c>
      <c r="P337" t="s">
        <v>1278</v>
      </c>
    </row>
    <row r="338" spans="13:16" x14ac:dyDescent="0.35">
      <c r="M338" t="s">
        <v>1282</v>
      </c>
      <c r="N338" t="s">
        <v>1103</v>
      </c>
      <c r="O338" t="s">
        <v>1282</v>
      </c>
      <c r="P338" t="s">
        <v>1283</v>
      </c>
    </row>
    <row r="339" spans="13:16" x14ac:dyDescent="0.35">
      <c r="M339" t="s">
        <v>1287</v>
      </c>
      <c r="N339" t="s">
        <v>1103</v>
      </c>
      <c r="O339" t="s">
        <v>1287</v>
      </c>
      <c r="P339" t="s">
        <v>1288</v>
      </c>
    </row>
    <row r="340" spans="13:16" x14ac:dyDescent="0.35">
      <c r="M340" t="s">
        <v>1292</v>
      </c>
      <c r="N340" t="s">
        <v>1103</v>
      </c>
      <c r="O340" t="s">
        <v>1292</v>
      </c>
      <c r="P340" t="s">
        <v>1293</v>
      </c>
    </row>
    <row r="341" spans="13:16" x14ac:dyDescent="0.35">
      <c r="M341" t="s">
        <v>1297</v>
      </c>
      <c r="N341" t="s">
        <v>1103</v>
      </c>
      <c r="O341" t="s">
        <v>1297</v>
      </c>
      <c r="P341" t="s">
        <v>1298</v>
      </c>
    </row>
    <row r="342" spans="13:16" x14ac:dyDescent="0.35">
      <c r="M342" t="s">
        <v>1302</v>
      </c>
      <c r="N342" t="s">
        <v>1103</v>
      </c>
      <c r="O342" t="s">
        <v>1302</v>
      </c>
      <c r="P342" t="s">
        <v>1303</v>
      </c>
    </row>
    <row r="343" spans="13:16" x14ac:dyDescent="0.35">
      <c r="M343" t="s">
        <v>1308</v>
      </c>
      <c r="N343" t="s">
        <v>1103</v>
      </c>
      <c r="O343" t="s">
        <v>1308</v>
      </c>
      <c r="P343" t="s">
        <v>1309</v>
      </c>
    </row>
    <row r="344" spans="13:16" x14ac:dyDescent="0.35">
      <c r="M344" t="s">
        <v>1314</v>
      </c>
      <c r="N344" t="s">
        <v>1103</v>
      </c>
      <c r="O344" t="s">
        <v>1314</v>
      </c>
      <c r="P344" t="s">
        <v>1315</v>
      </c>
    </row>
    <row r="345" spans="13:16" x14ac:dyDescent="0.35">
      <c r="M345" t="s">
        <v>1319</v>
      </c>
      <c r="N345" t="s">
        <v>1103</v>
      </c>
      <c r="O345" t="s">
        <v>1319</v>
      </c>
      <c r="P345" t="s">
        <v>1320</v>
      </c>
    </row>
    <row r="346" spans="13:16" x14ac:dyDescent="0.35">
      <c r="M346" t="s">
        <v>2023</v>
      </c>
      <c r="N346" t="s">
        <v>1103</v>
      </c>
      <c r="O346" t="s">
        <v>2023</v>
      </c>
      <c r="P346" t="s">
        <v>2024</v>
      </c>
    </row>
    <row r="347" spans="13:16" x14ac:dyDescent="0.35">
      <c r="M347" t="s">
        <v>1324</v>
      </c>
      <c r="N347" t="s">
        <v>1103</v>
      </c>
      <c r="O347" t="s">
        <v>1324</v>
      </c>
      <c r="P347" t="s">
        <v>1325</v>
      </c>
    </row>
    <row r="348" spans="13:16" x14ac:dyDescent="0.35">
      <c r="M348" t="s">
        <v>1329</v>
      </c>
      <c r="N348" t="s">
        <v>1103</v>
      </c>
      <c r="O348" t="s">
        <v>1329</v>
      </c>
      <c r="P348" t="s">
        <v>1330</v>
      </c>
    </row>
    <row r="349" spans="13:16" x14ac:dyDescent="0.35">
      <c r="M349" t="s">
        <v>1334</v>
      </c>
      <c r="N349" t="s">
        <v>1103</v>
      </c>
      <c r="O349" t="s">
        <v>1334</v>
      </c>
      <c r="P349" t="s">
        <v>1335</v>
      </c>
    </row>
    <row r="350" spans="13:16" x14ac:dyDescent="0.35">
      <c r="M350" t="s">
        <v>1339</v>
      </c>
      <c r="N350" t="s">
        <v>1103</v>
      </c>
      <c r="O350" t="s">
        <v>1339</v>
      </c>
      <c r="P350" t="s">
        <v>1340</v>
      </c>
    </row>
    <row r="351" spans="13:16" x14ac:dyDescent="0.35">
      <c r="M351" t="s">
        <v>1344</v>
      </c>
      <c r="N351" t="s">
        <v>1103</v>
      </c>
      <c r="O351" t="s">
        <v>1344</v>
      </c>
      <c r="P351" t="s">
        <v>1345</v>
      </c>
    </row>
    <row r="352" spans="13:16" x14ac:dyDescent="0.35">
      <c r="M352" t="s">
        <v>1349</v>
      </c>
      <c r="N352" t="s">
        <v>1103</v>
      </c>
      <c r="O352" t="s">
        <v>1349</v>
      </c>
      <c r="P352" t="s">
        <v>1350</v>
      </c>
    </row>
    <row r="353" spans="13:16" x14ac:dyDescent="0.35">
      <c r="M353" t="s">
        <v>1354</v>
      </c>
      <c r="N353" t="s">
        <v>1103</v>
      </c>
      <c r="O353" t="s">
        <v>1354</v>
      </c>
      <c r="P353" t="s">
        <v>1355</v>
      </c>
    </row>
    <row r="354" spans="13:16" x14ac:dyDescent="0.35">
      <c r="M354" t="s">
        <v>1359</v>
      </c>
      <c r="N354" t="s">
        <v>1103</v>
      </c>
      <c r="O354" t="s">
        <v>1359</v>
      </c>
      <c r="P354" t="s">
        <v>1360</v>
      </c>
    </row>
    <row r="355" spans="13:16" x14ac:dyDescent="0.35">
      <c r="M355" t="s">
        <v>1364</v>
      </c>
      <c r="N355" t="s">
        <v>1103</v>
      </c>
      <c r="O355" t="s">
        <v>1364</v>
      </c>
      <c r="P355" t="s">
        <v>1365</v>
      </c>
    </row>
    <row r="356" spans="13:16" x14ac:dyDescent="0.35">
      <c r="M356" t="s">
        <v>1369</v>
      </c>
      <c r="N356" t="s">
        <v>1103</v>
      </c>
      <c r="O356" t="s">
        <v>1369</v>
      </c>
      <c r="P356" t="s">
        <v>1370</v>
      </c>
    </row>
    <row r="357" spans="13:16" x14ac:dyDescent="0.35">
      <c r="M357" t="s">
        <v>1374</v>
      </c>
      <c r="N357" t="s">
        <v>1103</v>
      </c>
      <c r="O357" t="s">
        <v>1374</v>
      </c>
      <c r="P357" t="s">
        <v>1375</v>
      </c>
    </row>
    <row r="358" spans="13:16" x14ac:dyDescent="0.35">
      <c r="M358" t="s">
        <v>1379</v>
      </c>
      <c r="N358" t="s">
        <v>1103</v>
      </c>
      <c r="O358" t="s">
        <v>1379</v>
      </c>
      <c r="P358" t="s">
        <v>1380</v>
      </c>
    </row>
    <row r="359" spans="13:16" x14ac:dyDescent="0.35">
      <c r="M359" t="s">
        <v>1384</v>
      </c>
      <c r="N359" t="s">
        <v>1103</v>
      </c>
      <c r="O359" t="s">
        <v>1384</v>
      </c>
      <c r="P359" t="s">
        <v>1385</v>
      </c>
    </row>
    <row r="360" spans="13:16" x14ac:dyDescent="0.35">
      <c r="M360" t="s">
        <v>1390</v>
      </c>
      <c r="N360" t="s">
        <v>1103</v>
      </c>
      <c r="O360" t="s">
        <v>1390</v>
      </c>
      <c r="P360" t="s">
        <v>1391</v>
      </c>
    </row>
    <row r="361" spans="13:16" x14ac:dyDescent="0.35">
      <c r="M361" t="s">
        <v>1395</v>
      </c>
      <c r="N361" t="s">
        <v>1103</v>
      </c>
      <c r="O361" t="s">
        <v>1395</v>
      </c>
      <c r="P361" t="s">
        <v>1396</v>
      </c>
    </row>
    <row r="362" spans="13:16" x14ac:dyDescent="0.35">
      <c r="M362" t="s">
        <v>1400</v>
      </c>
      <c r="N362" t="s">
        <v>1103</v>
      </c>
      <c r="O362" t="s">
        <v>1400</v>
      </c>
      <c r="P362" t="s">
        <v>1401</v>
      </c>
    </row>
    <row r="363" spans="13:16" x14ac:dyDescent="0.35">
      <c r="M363" t="s">
        <v>2025</v>
      </c>
      <c r="N363" t="s">
        <v>1103</v>
      </c>
      <c r="O363" t="s">
        <v>2025</v>
      </c>
      <c r="P363" t="s">
        <v>2026</v>
      </c>
    </row>
    <row r="364" spans="13:16" x14ac:dyDescent="0.35">
      <c r="M364" t="s">
        <v>1405</v>
      </c>
      <c r="N364" t="s">
        <v>1103</v>
      </c>
      <c r="O364" t="s">
        <v>1405</v>
      </c>
      <c r="P364" t="s">
        <v>1406</v>
      </c>
    </row>
    <row r="365" spans="13:16" x14ac:dyDescent="0.35">
      <c r="M365" t="s">
        <v>1411</v>
      </c>
      <c r="N365" t="s">
        <v>1103</v>
      </c>
      <c r="O365" t="s">
        <v>1411</v>
      </c>
      <c r="P365" t="s">
        <v>1412</v>
      </c>
    </row>
    <row r="366" spans="13:16" x14ac:dyDescent="0.35">
      <c r="M366" t="s">
        <v>1416</v>
      </c>
      <c r="N366" t="s">
        <v>1103</v>
      </c>
      <c r="O366" t="s">
        <v>1416</v>
      </c>
      <c r="P366" t="s">
        <v>1417</v>
      </c>
    </row>
    <row r="367" spans="13:16" x14ac:dyDescent="0.35">
      <c r="M367" t="s">
        <v>1422</v>
      </c>
      <c r="N367" t="s">
        <v>1103</v>
      </c>
      <c r="O367" t="s">
        <v>1422</v>
      </c>
      <c r="P367" t="s">
        <v>1423</v>
      </c>
    </row>
    <row r="368" spans="13:16" x14ac:dyDescent="0.35">
      <c r="M368" t="s">
        <v>1428</v>
      </c>
      <c r="N368" t="s">
        <v>1103</v>
      </c>
      <c r="O368" t="s">
        <v>1428</v>
      </c>
      <c r="P368" t="s">
        <v>1429</v>
      </c>
    </row>
    <row r="369" spans="13:16" x14ac:dyDescent="0.35">
      <c r="M369" t="s">
        <v>1433</v>
      </c>
      <c r="N369" t="s">
        <v>1103</v>
      </c>
      <c r="O369" t="s">
        <v>1433</v>
      </c>
      <c r="P369" t="s">
        <v>1434</v>
      </c>
    </row>
    <row r="370" spans="13:16" x14ac:dyDescent="0.35">
      <c r="M370" t="s">
        <v>1438</v>
      </c>
      <c r="N370" t="s">
        <v>1103</v>
      </c>
      <c r="O370" t="s">
        <v>1438</v>
      </c>
      <c r="P370" t="s">
        <v>1439</v>
      </c>
    </row>
    <row r="371" spans="13:16" x14ac:dyDescent="0.35">
      <c r="M371" t="s">
        <v>1443</v>
      </c>
      <c r="N371" t="s">
        <v>1103</v>
      </c>
      <c r="O371" t="s">
        <v>1443</v>
      </c>
      <c r="P371" t="s">
        <v>1444</v>
      </c>
    </row>
    <row r="372" spans="13:16" x14ac:dyDescent="0.35">
      <c r="M372" t="s">
        <v>1448</v>
      </c>
      <c r="N372" t="s">
        <v>1103</v>
      </c>
      <c r="O372" t="s">
        <v>1448</v>
      </c>
      <c r="P372" t="s">
        <v>1449</v>
      </c>
    </row>
    <row r="373" spans="13:16" x14ac:dyDescent="0.35">
      <c r="M373" t="s">
        <v>1453</v>
      </c>
      <c r="N373" t="s">
        <v>1103</v>
      </c>
      <c r="O373" t="s">
        <v>1453</v>
      </c>
      <c r="P373" t="s">
        <v>1454</v>
      </c>
    </row>
    <row r="374" spans="13:16" x14ac:dyDescent="0.35">
      <c r="M374" t="s">
        <v>1458</v>
      </c>
      <c r="N374" t="s">
        <v>1103</v>
      </c>
      <c r="O374" t="s">
        <v>1458</v>
      </c>
      <c r="P374" t="s">
        <v>1459</v>
      </c>
    </row>
    <row r="375" spans="13:16" x14ac:dyDescent="0.35">
      <c r="M375" t="s">
        <v>1463</v>
      </c>
      <c r="N375" t="s">
        <v>1103</v>
      </c>
      <c r="O375" t="s">
        <v>1463</v>
      </c>
      <c r="P375" t="s">
        <v>1464</v>
      </c>
    </row>
    <row r="376" spans="13:16" x14ac:dyDescent="0.35">
      <c r="M376" t="s">
        <v>1468</v>
      </c>
      <c r="N376" t="s">
        <v>1103</v>
      </c>
      <c r="O376" t="s">
        <v>1468</v>
      </c>
      <c r="P376" t="s">
        <v>1469</v>
      </c>
    </row>
    <row r="377" spans="13:16" x14ac:dyDescent="0.35">
      <c r="M377" t="s">
        <v>1473</v>
      </c>
      <c r="N377" t="s">
        <v>1103</v>
      </c>
      <c r="O377" t="s">
        <v>1473</v>
      </c>
      <c r="P377" t="s">
        <v>1474</v>
      </c>
    </row>
    <row r="378" spans="13:16" x14ac:dyDescent="0.35">
      <c r="M378" t="s">
        <v>1478</v>
      </c>
      <c r="N378" t="s">
        <v>1103</v>
      </c>
      <c r="O378" t="s">
        <v>1478</v>
      </c>
      <c r="P378" t="s">
        <v>1479</v>
      </c>
    </row>
    <row r="379" spans="13:16" x14ac:dyDescent="0.35">
      <c r="M379" t="s">
        <v>1483</v>
      </c>
      <c r="N379" t="s">
        <v>1103</v>
      </c>
      <c r="O379" t="s">
        <v>1483</v>
      </c>
      <c r="P379" t="s">
        <v>1484</v>
      </c>
    </row>
    <row r="380" spans="13:16" x14ac:dyDescent="0.35">
      <c r="M380" t="s">
        <v>1488</v>
      </c>
      <c r="N380" t="s">
        <v>1103</v>
      </c>
      <c r="O380" t="s">
        <v>1488</v>
      </c>
      <c r="P380" t="s">
        <v>1489</v>
      </c>
    </row>
    <row r="381" spans="13:16" x14ac:dyDescent="0.35">
      <c r="M381" t="s">
        <v>1493</v>
      </c>
      <c r="N381" t="s">
        <v>1103</v>
      </c>
      <c r="O381" t="s">
        <v>1493</v>
      </c>
      <c r="P381" t="s">
        <v>1494</v>
      </c>
    </row>
    <row r="382" spans="13:16" x14ac:dyDescent="0.35">
      <c r="M382" t="s">
        <v>1498</v>
      </c>
      <c r="N382" t="s">
        <v>1103</v>
      </c>
      <c r="O382" t="s">
        <v>1498</v>
      </c>
      <c r="P382" t="s">
        <v>1499</v>
      </c>
    </row>
    <row r="383" spans="13:16" x14ac:dyDescent="0.35">
      <c r="M383" t="s">
        <v>1504</v>
      </c>
      <c r="N383" t="s">
        <v>1103</v>
      </c>
      <c r="O383" t="s">
        <v>1504</v>
      </c>
      <c r="P383" t="s">
        <v>1505</v>
      </c>
    </row>
    <row r="384" spans="13:16" x14ac:dyDescent="0.35">
      <c r="M384" t="s">
        <v>1509</v>
      </c>
      <c r="N384" t="s">
        <v>1103</v>
      </c>
      <c r="O384" t="s">
        <v>1509</v>
      </c>
      <c r="P384" t="s">
        <v>1510</v>
      </c>
    </row>
    <row r="385" spans="13:16" x14ac:dyDescent="0.35">
      <c r="M385" t="s">
        <v>1514</v>
      </c>
      <c r="N385" t="s">
        <v>1103</v>
      </c>
      <c r="O385" t="s">
        <v>1514</v>
      </c>
      <c r="P385" t="s">
        <v>1515</v>
      </c>
    </row>
    <row r="386" spans="13:16" x14ac:dyDescent="0.35">
      <c r="M386" t="s">
        <v>1519</v>
      </c>
      <c r="N386" t="s">
        <v>1103</v>
      </c>
      <c r="O386" t="s">
        <v>1519</v>
      </c>
      <c r="P386" t="s">
        <v>1520</v>
      </c>
    </row>
    <row r="387" spans="13:16" x14ac:dyDescent="0.35">
      <c r="M387" t="s">
        <v>1524</v>
      </c>
      <c r="N387" t="s">
        <v>1103</v>
      </c>
      <c r="O387" t="s">
        <v>1524</v>
      </c>
      <c r="P387" t="s">
        <v>1525</v>
      </c>
    </row>
    <row r="388" spans="13:16" x14ac:dyDescent="0.35">
      <c r="M388" t="s">
        <v>1529</v>
      </c>
      <c r="N388" t="s">
        <v>1103</v>
      </c>
      <c r="O388" t="s">
        <v>1529</v>
      </c>
      <c r="P388" t="s">
        <v>1530</v>
      </c>
    </row>
    <row r="389" spans="13:16" x14ac:dyDescent="0.35">
      <c r="M389" t="s">
        <v>1534</v>
      </c>
      <c r="N389" t="s">
        <v>1103</v>
      </c>
      <c r="O389" t="s">
        <v>1534</v>
      </c>
      <c r="P389" t="s">
        <v>1535</v>
      </c>
    </row>
    <row r="390" spans="13:16" x14ac:dyDescent="0.35">
      <c r="M390" t="s">
        <v>1539</v>
      </c>
      <c r="N390" t="s">
        <v>1103</v>
      </c>
      <c r="O390" t="s">
        <v>1539</v>
      </c>
      <c r="P390" t="s">
        <v>1540</v>
      </c>
    </row>
    <row r="391" spans="13:16" x14ac:dyDescent="0.35">
      <c r="M391" t="s">
        <v>1544</v>
      </c>
      <c r="N391" t="s">
        <v>1103</v>
      </c>
      <c r="O391" t="s">
        <v>1544</v>
      </c>
      <c r="P391" t="s">
        <v>1545</v>
      </c>
    </row>
    <row r="392" spans="13:16" x14ac:dyDescent="0.35">
      <c r="M392" t="s">
        <v>1549</v>
      </c>
      <c r="N392" t="s">
        <v>1103</v>
      </c>
      <c r="O392" t="s">
        <v>1549</v>
      </c>
      <c r="P392" t="s">
        <v>1550</v>
      </c>
    </row>
    <row r="393" spans="13:16" x14ac:dyDescent="0.35">
      <c r="M393" t="s">
        <v>1554</v>
      </c>
      <c r="N393" t="s">
        <v>1103</v>
      </c>
      <c r="O393" t="s">
        <v>1554</v>
      </c>
      <c r="P393" t="s">
        <v>1555</v>
      </c>
    </row>
    <row r="394" spans="13:16" x14ac:dyDescent="0.35">
      <c r="M394" t="s">
        <v>1559</v>
      </c>
      <c r="N394" t="s">
        <v>1103</v>
      </c>
      <c r="O394" t="s">
        <v>1559</v>
      </c>
      <c r="P394" t="s">
        <v>1560</v>
      </c>
    </row>
    <row r="395" spans="13:16" x14ac:dyDescent="0.35">
      <c r="M395" t="s">
        <v>1564</v>
      </c>
      <c r="N395" t="s">
        <v>1103</v>
      </c>
      <c r="O395" t="s">
        <v>1564</v>
      </c>
      <c r="P395" t="s">
        <v>1565</v>
      </c>
    </row>
    <row r="396" spans="13:16" x14ac:dyDescent="0.35">
      <c r="M396" t="s">
        <v>1569</v>
      </c>
      <c r="N396" t="s">
        <v>1103</v>
      </c>
      <c r="O396" t="s">
        <v>1569</v>
      </c>
      <c r="P396" t="s">
        <v>1570</v>
      </c>
    </row>
    <row r="397" spans="13:16" x14ac:dyDescent="0.35">
      <c r="M397" t="s">
        <v>1574</v>
      </c>
      <c r="N397" t="s">
        <v>1103</v>
      </c>
      <c r="O397" t="s">
        <v>1574</v>
      </c>
      <c r="P397" t="s">
        <v>1575</v>
      </c>
    </row>
    <row r="398" spans="13:16" x14ac:dyDescent="0.35">
      <c r="M398" t="s">
        <v>1579</v>
      </c>
      <c r="N398" t="s">
        <v>1103</v>
      </c>
      <c r="O398" t="s">
        <v>1579</v>
      </c>
      <c r="P398" t="s">
        <v>1580</v>
      </c>
    </row>
    <row r="399" spans="13:16" x14ac:dyDescent="0.35">
      <c r="M399" t="s">
        <v>1584</v>
      </c>
      <c r="N399" t="s">
        <v>1103</v>
      </c>
      <c r="O399" t="s">
        <v>1584</v>
      </c>
      <c r="P399" t="s">
        <v>1585</v>
      </c>
    </row>
    <row r="400" spans="13:16" x14ac:dyDescent="0.35">
      <c r="M400" t="s">
        <v>1589</v>
      </c>
      <c r="N400" t="s">
        <v>1103</v>
      </c>
      <c r="O400" t="s">
        <v>1589</v>
      </c>
      <c r="P400" t="s">
        <v>1590</v>
      </c>
    </row>
    <row r="401" spans="13:16" x14ac:dyDescent="0.35">
      <c r="M401" t="s">
        <v>1594</v>
      </c>
      <c r="N401" t="s">
        <v>1103</v>
      </c>
      <c r="O401" t="s">
        <v>1594</v>
      </c>
      <c r="P401" t="s">
        <v>1595</v>
      </c>
    </row>
    <row r="402" spans="13:16" x14ac:dyDescent="0.35">
      <c r="M402" t="s">
        <v>1599</v>
      </c>
      <c r="N402" t="s">
        <v>1103</v>
      </c>
      <c r="O402" t="s">
        <v>1599</v>
      </c>
      <c r="P402" t="s">
        <v>1600</v>
      </c>
    </row>
    <row r="403" spans="13:16" x14ac:dyDescent="0.35">
      <c r="M403" t="s">
        <v>1604</v>
      </c>
      <c r="N403" t="s">
        <v>1103</v>
      </c>
      <c r="O403" t="s">
        <v>1604</v>
      </c>
      <c r="P403" t="s">
        <v>1605</v>
      </c>
    </row>
    <row r="404" spans="13:16" x14ac:dyDescent="0.35">
      <c r="M404" t="s">
        <v>1609</v>
      </c>
      <c r="N404" t="s">
        <v>1103</v>
      </c>
      <c r="O404" t="s">
        <v>1609</v>
      </c>
      <c r="P404" t="s">
        <v>1610</v>
      </c>
    </row>
    <row r="405" spans="13:16" x14ac:dyDescent="0.35">
      <c r="M405" t="s">
        <v>1614</v>
      </c>
      <c r="N405" t="s">
        <v>1103</v>
      </c>
      <c r="O405" t="s">
        <v>1614</v>
      </c>
      <c r="P405" t="s">
        <v>1615</v>
      </c>
    </row>
    <row r="406" spans="13:16" x14ac:dyDescent="0.35">
      <c r="M406" t="s">
        <v>1619</v>
      </c>
      <c r="N406" t="s">
        <v>1103</v>
      </c>
      <c r="O406" t="s">
        <v>1619</v>
      </c>
      <c r="P406" t="s">
        <v>1620</v>
      </c>
    </row>
    <row r="407" spans="13:16" x14ac:dyDescent="0.35">
      <c r="M407" t="s">
        <v>1624</v>
      </c>
      <c r="N407" t="s">
        <v>1103</v>
      </c>
      <c r="O407" t="s">
        <v>1624</v>
      </c>
      <c r="P407" t="s">
        <v>1625</v>
      </c>
    </row>
    <row r="408" spans="13:16" x14ac:dyDescent="0.35">
      <c r="M408" t="s">
        <v>1629</v>
      </c>
      <c r="N408" t="s">
        <v>1103</v>
      </c>
      <c r="O408" t="s">
        <v>1629</v>
      </c>
      <c r="P408" t="s">
        <v>1630</v>
      </c>
    </row>
    <row r="409" spans="13:16" x14ac:dyDescent="0.35">
      <c r="M409" t="s">
        <v>1634</v>
      </c>
      <c r="N409" t="s">
        <v>1103</v>
      </c>
      <c r="O409" t="s">
        <v>1634</v>
      </c>
      <c r="P409" t="s">
        <v>1635</v>
      </c>
    </row>
    <row r="410" spans="13:16" x14ac:dyDescent="0.35">
      <c r="M410" t="s">
        <v>1639</v>
      </c>
      <c r="N410" t="s">
        <v>1103</v>
      </c>
      <c r="O410" t="s">
        <v>1639</v>
      </c>
      <c r="P410" t="s">
        <v>1640</v>
      </c>
    </row>
    <row r="411" spans="13:16" x14ac:dyDescent="0.35">
      <c r="M411" t="s">
        <v>1644</v>
      </c>
      <c r="N411" t="s">
        <v>1103</v>
      </c>
      <c r="O411" t="s">
        <v>1644</v>
      </c>
      <c r="P411" t="s">
        <v>1645</v>
      </c>
    </row>
    <row r="412" spans="13:16" x14ac:dyDescent="0.35">
      <c r="M412" t="s">
        <v>2027</v>
      </c>
      <c r="N412" t="s">
        <v>1103</v>
      </c>
      <c r="O412" t="s">
        <v>2027</v>
      </c>
      <c r="P412" t="s">
        <v>2028</v>
      </c>
    </row>
    <row r="413" spans="13:16" x14ac:dyDescent="0.35">
      <c r="M413" t="s">
        <v>1649</v>
      </c>
      <c r="N413" t="s">
        <v>1103</v>
      </c>
      <c r="O413" t="s">
        <v>1649</v>
      </c>
      <c r="P413" t="s">
        <v>1650</v>
      </c>
    </row>
    <row r="414" spans="13:16" x14ac:dyDescent="0.35">
      <c r="M414" t="s">
        <v>1654</v>
      </c>
      <c r="N414" t="s">
        <v>1103</v>
      </c>
      <c r="O414" t="s">
        <v>1654</v>
      </c>
      <c r="P414" t="s">
        <v>1655</v>
      </c>
    </row>
    <row r="415" spans="13:16" x14ac:dyDescent="0.35">
      <c r="M415" t="s">
        <v>1659</v>
      </c>
      <c r="N415" t="s">
        <v>1103</v>
      </c>
      <c r="O415" t="s">
        <v>1659</v>
      </c>
      <c r="P415" t="s">
        <v>1660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CAABE-353D-401A-A1F9-38B4EEF0F002}">
  <dimension ref="A1:C65"/>
  <sheetViews>
    <sheetView workbookViewId="0">
      <selection activeCell="B2" sqref="B2"/>
    </sheetView>
  </sheetViews>
  <sheetFormatPr defaultRowHeight="14.5" x14ac:dyDescent="0.35"/>
  <cols>
    <col min="1" max="1" width="14.7265625" customWidth="1"/>
    <col min="2" max="2" width="13.1796875" customWidth="1"/>
    <col min="3" max="3" width="21.453125" customWidth="1"/>
  </cols>
  <sheetData>
    <row r="1" spans="1:3" x14ac:dyDescent="0.35">
      <c r="A1" t="s">
        <v>12</v>
      </c>
      <c r="B1" t="s">
        <v>5</v>
      </c>
      <c r="C1" t="s">
        <v>13</v>
      </c>
    </row>
    <row r="2" spans="1:3" x14ac:dyDescent="0.35">
      <c r="A2" t="s">
        <v>1663</v>
      </c>
      <c r="B2" t="str">
        <f>VLOOKUP('PLCW-CBA'!A2,PLCW!M:N,2,FALSE)</f>
        <v>Raw Mill-1</v>
      </c>
      <c r="C2" t="str">
        <f>VLOOKUP(A2,PLCW!O:P,2,FALSE)</f>
        <v>N-PLCW1-RM1-Q-QC-SiO2</v>
      </c>
    </row>
    <row r="3" spans="1:3" x14ac:dyDescent="0.35">
      <c r="A3" t="s">
        <v>1664</v>
      </c>
      <c r="B3" t="str">
        <f>VLOOKUP('PLCW-CBA'!A3,PLCW!M:N,2,FALSE)</f>
        <v>Raw Mill-1</v>
      </c>
      <c r="C3" t="str">
        <f>VLOOKUP(A3,PLCW!O:P,2,FALSE)</f>
        <v>N-PLCW1-RM1-Q-QC-SiO2_10</v>
      </c>
    </row>
    <row r="4" spans="1:3" x14ac:dyDescent="0.35">
      <c r="A4" t="s">
        <v>1665</v>
      </c>
      <c r="B4" t="str">
        <f>VLOOKUP('PLCW-CBA'!A4,PLCW!M:N,2,FALSE)</f>
        <v>Raw Mill-1</v>
      </c>
      <c r="C4" t="str">
        <f>VLOOKUP(A4,PLCW!O:P,2,FALSE)</f>
        <v>N-PLCW1-RM1-Q-QC-SiO2_60</v>
      </c>
    </row>
    <row r="5" spans="1:3" x14ac:dyDescent="0.35">
      <c r="A5" t="s">
        <v>1666</v>
      </c>
      <c r="B5" t="str">
        <f>VLOOKUP('PLCW-CBA'!A5,PLCW!M:N,2,FALSE)</f>
        <v>Raw Mill-1</v>
      </c>
      <c r="C5" t="str">
        <f>VLOOKUP(A5,PLCW!O:P,2,FALSE)</f>
        <v>N-PLCW1-RM1-Q-QC-SiO2_P</v>
      </c>
    </row>
    <row r="6" spans="1:3" x14ac:dyDescent="0.35">
      <c r="A6" t="s">
        <v>1667</v>
      </c>
      <c r="B6" t="str">
        <f>VLOOKUP('PLCW-CBA'!A6,PLCW!M:N,2,FALSE)</f>
        <v>Raw Mill-1</v>
      </c>
      <c r="C6" t="str">
        <f>VLOOKUP(A6,PLCW!O:P,2,FALSE)</f>
        <v>N-PLCW1-RM1-Q-QC-Al2O3</v>
      </c>
    </row>
    <row r="7" spans="1:3" x14ac:dyDescent="0.35">
      <c r="A7" t="s">
        <v>1668</v>
      </c>
      <c r="B7" t="str">
        <f>VLOOKUP('PLCW-CBA'!A7,PLCW!M:N,2,FALSE)</f>
        <v>Raw Mill-1</v>
      </c>
      <c r="C7" t="str">
        <f>VLOOKUP(A7,PLCW!O:P,2,FALSE)</f>
        <v>N-PLCW1-RM1-Q-QC-Al2O3_10</v>
      </c>
    </row>
    <row r="8" spans="1:3" x14ac:dyDescent="0.35">
      <c r="A8" t="s">
        <v>1669</v>
      </c>
      <c r="B8" t="str">
        <f>VLOOKUP('PLCW-CBA'!A8,PLCW!M:N,2,FALSE)</f>
        <v>Raw Mill-1</v>
      </c>
      <c r="C8" t="str">
        <f>VLOOKUP(A8,PLCW!O:P,2,FALSE)</f>
        <v>N-PLCW1-RM1-Q-QC-Al2O3_60</v>
      </c>
    </row>
    <row r="9" spans="1:3" x14ac:dyDescent="0.35">
      <c r="A9" t="s">
        <v>1670</v>
      </c>
      <c r="B9" t="str">
        <f>VLOOKUP('PLCW-CBA'!A9,PLCW!M:N,2,FALSE)</f>
        <v>Raw Mill-1</v>
      </c>
      <c r="C9" t="str">
        <f>VLOOKUP(A9,PLCW!O:P,2,FALSE)</f>
        <v>N-PLCW1-RM1-Q-QC-Al2O3_P</v>
      </c>
    </row>
    <row r="10" spans="1:3" x14ac:dyDescent="0.35">
      <c r="A10" t="s">
        <v>1671</v>
      </c>
      <c r="B10" t="str">
        <f>VLOOKUP('PLCW-CBA'!A10,PLCW!M:N,2,FALSE)</f>
        <v>Raw Mill-1</v>
      </c>
      <c r="C10" t="str">
        <f>VLOOKUP(A10,PLCW!O:P,2,FALSE)</f>
        <v>N-PLCW1-RM1-Q-QC-Fe2O3</v>
      </c>
    </row>
    <row r="11" spans="1:3" x14ac:dyDescent="0.35">
      <c r="A11" t="s">
        <v>1672</v>
      </c>
      <c r="B11" t="str">
        <f>VLOOKUP('PLCW-CBA'!A11,PLCW!M:N,2,FALSE)</f>
        <v>Raw Mill-1</v>
      </c>
      <c r="C11" t="str">
        <f>VLOOKUP(A11,PLCW!O:P,2,FALSE)</f>
        <v>N-PLCW1-RM1-Q-QC-Fe2O3_10</v>
      </c>
    </row>
    <row r="12" spans="1:3" x14ac:dyDescent="0.35">
      <c r="A12" t="s">
        <v>1673</v>
      </c>
      <c r="B12" t="str">
        <f>VLOOKUP('PLCW-CBA'!A12,PLCW!M:N,2,FALSE)</f>
        <v>Raw Mill-1</v>
      </c>
      <c r="C12" t="str">
        <f>VLOOKUP(A12,PLCW!O:P,2,FALSE)</f>
        <v>N-PLCW1-RM1-Q-QC-Fe2O3_60</v>
      </c>
    </row>
    <row r="13" spans="1:3" x14ac:dyDescent="0.35">
      <c r="A13" t="s">
        <v>1674</v>
      </c>
      <c r="B13" t="str">
        <f>VLOOKUP('PLCW-CBA'!A13,PLCW!M:N,2,FALSE)</f>
        <v>Raw Mill-1</v>
      </c>
      <c r="C13" t="str">
        <f>VLOOKUP(A13,PLCW!O:P,2,FALSE)</f>
        <v>N-PLCW1-RM1-Q-QC-Fe2O3_P</v>
      </c>
    </row>
    <row r="14" spans="1:3" x14ac:dyDescent="0.35">
      <c r="A14" t="s">
        <v>1675</v>
      </c>
      <c r="B14" t="str">
        <f>VLOOKUP('PLCW-CBA'!A14,PLCW!M:N,2,FALSE)</f>
        <v>Raw Mill-1</v>
      </c>
      <c r="C14" t="str">
        <f>VLOOKUP(A14,PLCW!O:P,2,FALSE)</f>
        <v>N-PLCW1-RM1-Q-QC-CaO</v>
      </c>
    </row>
    <row r="15" spans="1:3" x14ac:dyDescent="0.35">
      <c r="A15" t="s">
        <v>1676</v>
      </c>
      <c r="B15" t="str">
        <f>VLOOKUP('PLCW-CBA'!A15,PLCW!M:N,2,FALSE)</f>
        <v>Raw Mill-1</v>
      </c>
      <c r="C15" t="str">
        <f>VLOOKUP(A15,PLCW!O:P,2,FALSE)</f>
        <v>N-PLCW1-RM1-Q-QC-CaO_10</v>
      </c>
    </row>
    <row r="16" spans="1:3" x14ac:dyDescent="0.35">
      <c r="A16" t="s">
        <v>1677</v>
      </c>
      <c r="B16" t="str">
        <f>VLOOKUP('PLCW-CBA'!A16,PLCW!M:N,2,FALSE)</f>
        <v>Raw Mill-1</v>
      </c>
      <c r="C16" t="str">
        <f>VLOOKUP(A16,PLCW!O:P,2,FALSE)</f>
        <v>N-PLCW1-RM1-Q-QC-CaO_60</v>
      </c>
    </row>
    <row r="17" spans="1:3" x14ac:dyDescent="0.35">
      <c r="A17" t="s">
        <v>1678</v>
      </c>
      <c r="B17" t="str">
        <f>VLOOKUP('PLCW-CBA'!A17,PLCW!M:N,2,FALSE)</f>
        <v>Raw Mill-1</v>
      </c>
      <c r="C17" t="str">
        <f>VLOOKUP(A17,PLCW!O:P,2,FALSE)</f>
        <v>N-PLCW1-RM1-Q-QC-CaO_P</v>
      </c>
    </row>
    <row r="18" spans="1:3" x14ac:dyDescent="0.35">
      <c r="A18" t="s">
        <v>1679</v>
      </c>
      <c r="B18" t="str">
        <f>VLOOKUP('PLCW-CBA'!A18,PLCW!M:N,2,FALSE)</f>
        <v>Raw Mill-1</v>
      </c>
      <c r="C18" t="str">
        <f>VLOOKUP(A18,PLCW!O:P,2,FALSE)</f>
        <v>N-PLCW1-RM1-Q-QC-MgO</v>
      </c>
    </row>
    <row r="19" spans="1:3" x14ac:dyDescent="0.35">
      <c r="A19" t="s">
        <v>1680</v>
      </c>
      <c r="B19" t="str">
        <f>VLOOKUP('PLCW-CBA'!A19,PLCW!M:N,2,FALSE)</f>
        <v>Raw Mill-1</v>
      </c>
      <c r="C19" t="str">
        <f>VLOOKUP(A19,PLCW!O:P,2,FALSE)</f>
        <v>N-PLCW1-RM1-Q-QC-MgO_10</v>
      </c>
    </row>
    <row r="20" spans="1:3" x14ac:dyDescent="0.35">
      <c r="A20" t="s">
        <v>1681</v>
      </c>
      <c r="B20" t="str">
        <f>VLOOKUP('PLCW-CBA'!A20,PLCW!M:N,2,FALSE)</f>
        <v>Raw Mill-1</v>
      </c>
      <c r="C20" t="str">
        <f>VLOOKUP(A20,PLCW!O:P,2,FALSE)</f>
        <v>N-PLCW1-RM1-Q-QC-MgO_60</v>
      </c>
    </row>
    <row r="21" spans="1:3" x14ac:dyDescent="0.35">
      <c r="A21" t="s">
        <v>1682</v>
      </c>
      <c r="B21" t="str">
        <f>VLOOKUP('PLCW-CBA'!A21,PLCW!M:N,2,FALSE)</f>
        <v>Raw Mill-1</v>
      </c>
      <c r="C21" t="str">
        <f>VLOOKUP(A21,PLCW!O:P,2,FALSE)</f>
        <v>N-PLCW1-RM1-Q-QC-MgO_P</v>
      </c>
    </row>
    <row r="22" spans="1:3" x14ac:dyDescent="0.35">
      <c r="A22" t="s">
        <v>1683</v>
      </c>
      <c r="B22" t="str">
        <f>VLOOKUP('PLCW-CBA'!A22,PLCW!M:N,2,FALSE)</f>
        <v>Raw Mill-1</v>
      </c>
      <c r="C22" t="str">
        <f>VLOOKUP(A22,PLCW!O:P,2,FALSE)</f>
        <v>N-PLCW1-RM1-Q-QC-SO3</v>
      </c>
    </row>
    <row r="23" spans="1:3" x14ac:dyDescent="0.35">
      <c r="A23" t="s">
        <v>1684</v>
      </c>
      <c r="B23" t="str">
        <f>VLOOKUP('PLCW-CBA'!A23,PLCW!M:N,2,FALSE)</f>
        <v>Raw Mill-1</v>
      </c>
      <c r="C23" t="str">
        <f>VLOOKUP(A23,PLCW!O:P,2,FALSE)</f>
        <v>N-PLCW1-RM1-Q-QC-SO3_10</v>
      </c>
    </row>
    <row r="24" spans="1:3" x14ac:dyDescent="0.35">
      <c r="A24" t="s">
        <v>1685</v>
      </c>
      <c r="B24" t="str">
        <f>VLOOKUP('PLCW-CBA'!A24,PLCW!M:N,2,FALSE)</f>
        <v>Raw Mill-1</v>
      </c>
      <c r="C24" t="str">
        <f>VLOOKUP(A24,PLCW!O:P,2,FALSE)</f>
        <v>N-PLCW1-RM1-Q-QC-SO3_60</v>
      </c>
    </row>
    <row r="25" spans="1:3" x14ac:dyDescent="0.35">
      <c r="A25" t="s">
        <v>1686</v>
      </c>
      <c r="B25" t="str">
        <f>VLOOKUP('PLCW-CBA'!A25,PLCW!M:N,2,FALSE)</f>
        <v>Raw Mill-1</v>
      </c>
      <c r="C25" t="str">
        <f>VLOOKUP(A25,PLCW!O:P,2,FALSE)</f>
        <v>N-PLCW1-RM1-Q-QC-SO3_P</v>
      </c>
    </row>
    <row r="26" spans="1:3" x14ac:dyDescent="0.35">
      <c r="A26" t="s">
        <v>1687</v>
      </c>
      <c r="B26" t="str">
        <f>VLOOKUP('PLCW-CBA'!A26,PLCW!M:N,2,FALSE)</f>
        <v>Raw Mill-1</v>
      </c>
      <c r="C26" t="str">
        <f>VLOOKUP(A26,PLCW!O:P,2,FALSE)</f>
        <v>N-PLCW1-RM1-Q-QC-Na2O</v>
      </c>
    </row>
    <row r="27" spans="1:3" x14ac:dyDescent="0.35">
      <c r="A27" t="s">
        <v>1688</v>
      </c>
      <c r="B27" t="str">
        <f>VLOOKUP('PLCW-CBA'!A27,PLCW!M:N,2,FALSE)</f>
        <v>Raw Mill-1</v>
      </c>
      <c r="C27" t="str">
        <f>VLOOKUP(A27,PLCW!O:P,2,FALSE)</f>
        <v>N-PLCW1-RM1-Q-QC-Na2O_10</v>
      </c>
    </row>
    <row r="28" spans="1:3" x14ac:dyDescent="0.35">
      <c r="A28" t="s">
        <v>1689</v>
      </c>
      <c r="B28" t="str">
        <f>VLOOKUP('PLCW-CBA'!A28,PLCW!M:N,2,FALSE)</f>
        <v>Raw Mill-1</v>
      </c>
      <c r="C28" t="str">
        <f>VLOOKUP(A28,PLCW!O:P,2,FALSE)</f>
        <v>N-PLCW1-RM1-Q-QC-Na2O_60</v>
      </c>
    </row>
    <row r="29" spans="1:3" x14ac:dyDescent="0.35">
      <c r="A29" t="s">
        <v>1690</v>
      </c>
      <c r="B29" t="str">
        <f>VLOOKUP('PLCW-CBA'!A29,PLCW!M:N,2,FALSE)</f>
        <v>Raw Mill-1</v>
      </c>
      <c r="C29" t="str">
        <f>VLOOKUP(A29,PLCW!O:P,2,FALSE)</f>
        <v>N-PLCW1-RM1-Q-QC-Na2O_P</v>
      </c>
    </row>
    <row r="30" spans="1:3" x14ac:dyDescent="0.35">
      <c r="A30" t="s">
        <v>1691</v>
      </c>
      <c r="B30" t="str">
        <f>VLOOKUP('PLCW-CBA'!A30,PLCW!M:N,2,FALSE)</f>
        <v>Raw Mill-1</v>
      </c>
      <c r="C30" t="str">
        <f>VLOOKUP(A30,PLCW!O:P,2,FALSE)</f>
        <v>N-PLCW1-RM1-Q-QC-K2O</v>
      </c>
    </row>
    <row r="31" spans="1:3" x14ac:dyDescent="0.35">
      <c r="A31" t="s">
        <v>1692</v>
      </c>
      <c r="B31" t="str">
        <f>VLOOKUP('PLCW-CBA'!A31,PLCW!M:N,2,FALSE)</f>
        <v>Raw Mill-1</v>
      </c>
      <c r="C31" t="str">
        <f>VLOOKUP(A31,PLCW!O:P,2,FALSE)</f>
        <v>N-PLCW1-RM1-Q-QC-K2O_10</v>
      </c>
    </row>
    <row r="32" spans="1:3" x14ac:dyDescent="0.35">
      <c r="A32" t="s">
        <v>1693</v>
      </c>
      <c r="B32" t="str">
        <f>VLOOKUP('PLCW-CBA'!A32,PLCW!M:N,2,FALSE)</f>
        <v>Raw Mill-1</v>
      </c>
      <c r="C32" t="str">
        <f>VLOOKUP(A32,PLCW!O:P,2,FALSE)</f>
        <v>N-PLCW1-RM1-Q-QC-K2O_60</v>
      </c>
    </row>
    <row r="33" spans="1:3" x14ac:dyDescent="0.35">
      <c r="A33" t="s">
        <v>1694</v>
      </c>
      <c r="B33" t="str">
        <f>VLOOKUP('PLCW-CBA'!A33,PLCW!M:N,2,FALSE)</f>
        <v>Raw Mill-1</v>
      </c>
      <c r="C33" t="str">
        <f>VLOOKUP(A33,PLCW!O:P,2,FALSE)</f>
        <v>N-PLCW1-RM1-Q-QC-K2O_P</v>
      </c>
    </row>
    <row r="34" spans="1:3" x14ac:dyDescent="0.35">
      <c r="A34" t="s">
        <v>1695</v>
      </c>
      <c r="B34" t="str">
        <f>VLOOKUP('PLCW-CBA'!A34,PLCW!M:N,2,FALSE)</f>
        <v>Raw Mill-1</v>
      </c>
      <c r="C34" t="str">
        <f>VLOOKUP(A34,PLCW!O:P,2,FALSE)</f>
        <v>N-PLCW1-RM1-Q-QC-Cl</v>
      </c>
    </row>
    <row r="35" spans="1:3" x14ac:dyDescent="0.35">
      <c r="A35" t="s">
        <v>1696</v>
      </c>
      <c r="B35" t="str">
        <f>VLOOKUP('PLCW-CBA'!A35,PLCW!M:N,2,FALSE)</f>
        <v>Raw Mill-1</v>
      </c>
      <c r="C35" t="str">
        <f>VLOOKUP(A35,PLCW!O:P,2,FALSE)</f>
        <v>N-PLCW1-RM1-Q-QC-Cl_10</v>
      </c>
    </row>
    <row r="36" spans="1:3" x14ac:dyDescent="0.35">
      <c r="A36" t="s">
        <v>1697</v>
      </c>
      <c r="B36" t="str">
        <f>VLOOKUP('PLCW-CBA'!A36,PLCW!M:N,2,FALSE)</f>
        <v>Raw Mill-1</v>
      </c>
      <c r="C36" t="str">
        <f>VLOOKUP(A36,PLCW!O:P,2,FALSE)</f>
        <v>N-PLCW1-RM1-Q-QC-Cl_60</v>
      </c>
    </row>
    <row r="37" spans="1:3" x14ac:dyDescent="0.35">
      <c r="A37" t="s">
        <v>1698</v>
      </c>
      <c r="B37" t="str">
        <f>VLOOKUP('PLCW-CBA'!A37,PLCW!M:N,2,FALSE)</f>
        <v>Raw Mill-1</v>
      </c>
      <c r="C37" t="str">
        <f>VLOOKUP(A37,PLCW!O:P,2,FALSE)</f>
        <v>N-PLCW1-RM1-Q-QC-Cl_P</v>
      </c>
    </row>
    <row r="38" spans="1:3" x14ac:dyDescent="0.35">
      <c r="A38" t="s">
        <v>1699</v>
      </c>
      <c r="B38" t="str">
        <f>VLOOKUP('PLCW-CBA'!A38,PLCW!M:N,2,FALSE)</f>
        <v>Raw Mill-1</v>
      </c>
      <c r="C38" t="str">
        <f>VLOOKUP(A38,PLCW!O:P,2,FALSE)</f>
        <v>N-PLCW1-RM1-Q-QC-P2O5</v>
      </c>
    </row>
    <row r="39" spans="1:3" x14ac:dyDescent="0.35">
      <c r="A39" t="s">
        <v>1700</v>
      </c>
      <c r="B39" t="str">
        <f>VLOOKUP('PLCW-CBA'!A39,PLCW!M:N,2,FALSE)</f>
        <v>Raw Mill-1</v>
      </c>
      <c r="C39" t="str">
        <f>VLOOKUP(A39,PLCW!O:P,2,FALSE)</f>
        <v>N-PLCW1-RM1-Q-QC-P2O5_10</v>
      </c>
    </row>
    <row r="40" spans="1:3" x14ac:dyDescent="0.35">
      <c r="A40" t="s">
        <v>1701</v>
      </c>
      <c r="B40" t="str">
        <f>VLOOKUP('PLCW-CBA'!A40,PLCW!M:N,2,FALSE)</f>
        <v>Raw Mill-1</v>
      </c>
      <c r="C40" t="str">
        <f>VLOOKUP(A40,PLCW!O:P,2,FALSE)</f>
        <v>N-PLCW1-RM1-Q-QC-P2O5_60</v>
      </c>
    </row>
    <row r="41" spans="1:3" x14ac:dyDescent="0.35">
      <c r="A41" t="s">
        <v>1702</v>
      </c>
      <c r="B41" t="str">
        <f>VLOOKUP('PLCW-CBA'!A41,PLCW!M:N,2,FALSE)</f>
        <v>Raw Mill-1</v>
      </c>
      <c r="C41" t="str">
        <f>VLOOKUP(A41,PLCW!O:P,2,FALSE)</f>
        <v>N-PLCW1-RM1-Q-QC-P2O5_P</v>
      </c>
    </row>
    <row r="42" spans="1:3" x14ac:dyDescent="0.35">
      <c r="A42" t="s">
        <v>1703</v>
      </c>
      <c r="B42" t="str">
        <f>VLOOKUP('PLCW-CBA'!A42,PLCW!M:N,2,FALSE)</f>
        <v>Raw Mill-1</v>
      </c>
      <c r="C42" t="str">
        <f>VLOOKUP(A42,PLCW!O:P,2,FALSE)</f>
        <v>N-PLCW1-RM1-Q-QC-TiO2</v>
      </c>
    </row>
    <row r="43" spans="1:3" x14ac:dyDescent="0.35">
      <c r="A43" t="s">
        <v>1704</v>
      </c>
      <c r="B43" t="str">
        <f>VLOOKUP('PLCW-CBA'!A43,PLCW!M:N,2,FALSE)</f>
        <v>Raw Mill-1</v>
      </c>
      <c r="C43" t="str">
        <f>VLOOKUP(A43,PLCW!O:P,2,FALSE)</f>
        <v>N-PLCW1-RM1-Q-QC-TiO2_10</v>
      </c>
    </row>
    <row r="44" spans="1:3" x14ac:dyDescent="0.35">
      <c r="A44" t="s">
        <v>1705</v>
      </c>
      <c r="B44" t="str">
        <f>VLOOKUP('PLCW-CBA'!A44,PLCW!M:N,2,FALSE)</f>
        <v>Raw Mill-1</v>
      </c>
      <c r="C44" t="str">
        <f>VLOOKUP(A44,PLCW!O:P,2,FALSE)</f>
        <v>N-PLCW1-RM1-Q-QC-TiO2_60</v>
      </c>
    </row>
    <row r="45" spans="1:3" x14ac:dyDescent="0.35">
      <c r="A45" t="s">
        <v>1706</v>
      </c>
      <c r="B45" t="str">
        <f>VLOOKUP('PLCW-CBA'!A45,PLCW!M:N,2,FALSE)</f>
        <v>Raw Mill-1</v>
      </c>
      <c r="C45" t="str">
        <f>VLOOKUP(A45,PLCW!O:P,2,FALSE)</f>
        <v>N-PLCW1-RM1-Q-QC-TiO2_P</v>
      </c>
    </row>
    <row r="46" spans="1:3" x14ac:dyDescent="0.35">
      <c r="A46" t="s">
        <v>1707</v>
      </c>
      <c r="B46" t="str">
        <f>VLOOKUP('PLCW-CBA'!A46,PLCW!M:N,2,FALSE)</f>
        <v>Raw Mill-1</v>
      </c>
      <c r="C46" t="str">
        <f>VLOOKUP(A46,PLCW!O:P,2,FALSE)</f>
        <v>N-PLCW1-RM1-RA-QC-LSF</v>
      </c>
    </row>
    <row r="47" spans="1:3" x14ac:dyDescent="0.35">
      <c r="A47" t="s">
        <v>1708</v>
      </c>
      <c r="B47" t="str">
        <f>VLOOKUP('PLCW-CBA'!A47,PLCW!M:N,2,FALSE)</f>
        <v>Raw Mill-1</v>
      </c>
      <c r="C47" t="str">
        <f>VLOOKUP(A47,PLCW!O:P,2,FALSE)</f>
        <v>N-PLCW1-RM1-RA-QC-LSF_10</v>
      </c>
    </row>
    <row r="48" spans="1:3" x14ac:dyDescent="0.35">
      <c r="A48" t="s">
        <v>1709</v>
      </c>
      <c r="B48" t="str">
        <f>VLOOKUP('PLCW-CBA'!A48,PLCW!M:N,2,FALSE)</f>
        <v>Raw Mill-1</v>
      </c>
      <c r="C48" t="str">
        <f>VLOOKUP(A48,PLCW!O:P,2,FALSE)</f>
        <v>N-PLCW1-RM1-RA-QC-LSF_60</v>
      </c>
    </row>
    <row r="49" spans="1:3" x14ac:dyDescent="0.35">
      <c r="A49" t="s">
        <v>1710</v>
      </c>
      <c r="B49" t="str">
        <f>VLOOKUP('PLCW-CBA'!A49,PLCW!M:N,2,FALSE)</f>
        <v>Raw Mill-1</v>
      </c>
      <c r="C49" t="str">
        <f>VLOOKUP(A49,PLCW!O:P,2,FALSE)</f>
        <v>N-PLCW1-RM1-RA-QC-LSF_P</v>
      </c>
    </row>
    <row r="50" spans="1:3" x14ac:dyDescent="0.35">
      <c r="A50" t="s">
        <v>1711</v>
      </c>
      <c r="B50" t="str">
        <f>VLOOKUP('PLCW-CBA'!A50,PLCW!M:N,2,FALSE)</f>
        <v>Raw Mill-1</v>
      </c>
      <c r="C50" t="str">
        <f>VLOOKUP(A50,PLCW!O:P,2,FALSE)</f>
        <v>N-PLCW1-RM1-RA-QC-SM</v>
      </c>
    </row>
    <row r="51" spans="1:3" x14ac:dyDescent="0.35">
      <c r="A51" t="s">
        <v>1712</v>
      </c>
      <c r="B51" t="str">
        <f>VLOOKUP('PLCW-CBA'!A51,PLCW!M:N,2,FALSE)</f>
        <v>Raw Mill-1</v>
      </c>
      <c r="C51" t="str">
        <f>VLOOKUP(A51,PLCW!O:P,2,FALSE)</f>
        <v>N-PLCW1-RM1-RA-QC-SM_10</v>
      </c>
    </row>
    <row r="52" spans="1:3" x14ac:dyDescent="0.35">
      <c r="A52" t="s">
        <v>1713</v>
      </c>
      <c r="B52" t="str">
        <f>VLOOKUP('PLCW-CBA'!A52,PLCW!M:N,2,FALSE)</f>
        <v>Raw Mill-1</v>
      </c>
      <c r="C52" t="str">
        <f>VLOOKUP(A52,PLCW!O:P,2,FALSE)</f>
        <v>N-PLCW1-RM1-RA-QC-SM_60</v>
      </c>
    </row>
    <row r="53" spans="1:3" x14ac:dyDescent="0.35">
      <c r="A53" t="s">
        <v>1714</v>
      </c>
      <c r="B53" t="str">
        <f>VLOOKUP('PLCW-CBA'!A53,PLCW!M:N,2,FALSE)</f>
        <v>Raw Mill-1</v>
      </c>
      <c r="C53" t="str">
        <f>VLOOKUP(A53,PLCW!O:P,2,FALSE)</f>
        <v>N-PLCW1-RM1-RA-QC-SM_P</v>
      </c>
    </row>
    <row r="54" spans="1:3" x14ac:dyDescent="0.35">
      <c r="A54" t="s">
        <v>1715</v>
      </c>
      <c r="B54" t="str">
        <f>VLOOKUP('PLCW-CBA'!A54,PLCW!M:N,2,FALSE)</f>
        <v>Raw Mill-1</v>
      </c>
      <c r="C54" t="str">
        <f>VLOOKUP(A54,PLCW!O:P,2,FALSE)</f>
        <v>N-PLCW1-RM1-RA-QC-AM</v>
      </c>
    </row>
    <row r="55" spans="1:3" x14ac:dyDescent="0.35">
      <c r="A55" t="s">
        <v>1716</v>
      </c>
      <c r="B55" t="str">
        <f>VLOOKUP('PLCW-CBA'!A55,PLCW!M:N,2,FALSE)</f>
        <v>Raw Mill-1</v>
      </c>
      <c r="C55" t="str">
        <f>VLOOKUP(A55,PLCW!O:P,2,FALSE)</f>
        <v>N-PLCW1-RM1-RA-QC-AM_10</v>
      </c>
    </row>
    <row r="56" spans="1:3" x14ac:dyDescent="0.35">
      <c r="A56" t="s">
        <v>1717</v>
      </c>
      <c r="B56" t="str">
        <f>VLOOKUP('PLCW-CBA'!A56,PLCW!M:N,2,FALSE)</f>
        <v>Raw Mill-1</v>
      </c>
      <c r="C56" t="str">
        <f>VLOOKUP(A56,PLCW!O:P,2,FALSE)</f>
        <v>N-PLCW1-RM1-RA-QC-AM_60</v>
      </c>
    </row>
    <row r="57" spans="1:3" x14ac:dyDescent="0.35">
      <c r="A57" t="s">
        <v>1718</v>
      </c>
      <c r="B57" t="str">
        <f>VLOOKUP('PLCW-CBA'!A57,PLCW!M:N,2,FALSE)</f>
        <v>Raw Mill-1</v>
      </c>
      <c r="C57" t="str">
        <f>VLOOKUP(A57,PLCW!O:P,2,FALSE)</f>
        <v>N-PLCW1-RM1-RA-QC-AM_P</v>
      </c>
    </row>
    <row r="58" spans="1:3" x14ac:dyDescent="0.35">
      <c r="A58" t="s">
        <v>88</v>
      </c>
      <c r="B58" t="str">
        <f>VLOOKUP('PLCW-CBA'!A58,PLCW!M:N,2,FALSE)</f>
        <v>Raw Mill-1</v>
      </c>
      <c r="C58" t="str">
        <f>VLOOKUP(A58,PLCW!O:P,2,FALSE)</f>
        <v>N-PLCW1-RM1-F-QC-TPH</v>
      </c>
    </row>
    <row r="59" spans="1:3" x14ac:dyDescent="0.35">
      <c r="A59" t="s">
        <v>1719</v>
      </c>
      <c r="B59" t="str">
        <f>VLOOKUP('PLCW-CBA'!A59,PLCW!M:N,2,FALSE)</f>
        <v>Raw Mill-1</v>
      </c>
      <c r="C59" t="str">
        <f>VLOOKUP(A59,PLCW!O:P,2,FALSE)</f>
        <v>N-PLCW1-RM1-F-QC-TPH_10</v>
      </c>
    </row>
    <row r="60" spans="1:3" x14ac:dyDescent="0.35">
      <c r="A60" t="s">
        <v>1720</v>
      </c>
      <c r="B60" t="str">
        <f>VLOOKUP('PLCW-CBA'!A60,PLCW!M:N,2,FALSE)</f>
        <v>Raw Mill-1</v>
      </c>
      <c r="C60" t="str">
        <f>VLOOKUP(A60,PLCW!O:P,2,FALSE)</f>
        <v>N-PLCW1-RM1-F-QC-TPH_60</v>
      </c>
    </row>
    <row r="61" spans="1:3" x14ac:dyDescent="0.35">
      <c r="A61" t="s">
        <v>1721</v>
      </c>
      <c r="B61" t="str">
        <f>VLOOKUP('PLCW-CBA'!A61,PLCW!M:N,2,FALSE)</f>
        <v>Raw Mill-1</v>
      </c>
      <c r="C61" t="str">
        <f>VLOOKUP(A61,PLCW!O:P,2,FALSE)</f>
        <v>N-PLCW1-RM1-F-QC-TPH_P</v>
      </c>
    </row>
    <row r="62" spans="1:3" x14ac:dyDescent="0.35">
      <c r="A62" t="s">
        <v>1722</v>
      </c>
      <c r="B62" t="str">
        <f>VLOOKUP('PLCW-CBA'!A62,PLCW!M:N,2,FALSE)</f>
        <v>Raw Mill-1</v>
      </c>
      <c r="C62" t="str">
        <f>VLOOKUP(A62,PLCW!O:P,2,FALSE)</f>
        <v>N-PLCW1-RM1-WE-QC-TONS</v>
      </c>
    </row>
    <row r="63" spans="1:3" x14ac:dyDescent="0.35">
      <c r="A63" t="s">
        <v>1723</v>
      </c>
      <c r="B63" t="str">
        <f>VLOOKUP('PLCW-CBA'!A63,PLCW!M:N,2,FALSE)</f>
        <v>Raw Mill-1</v>
      </c>
      <c r="C63" t="str">
        <f>VLOOKUP(A63,PLCW!O:P,2,FALSE)</f>
        <v>N-PLCW1-RM1-WE-QC-TONS_10</v>
      </c>
    </row>
    <row r="64" spans="1:3" x14ac:dyDescent="0.35">
      <c r="A64" t="s">
        <v>1724</v>
      </c>
      <c r="B64" t="str">
        <f>VLOOKUP('PLCW-CBA'!A64,PLCW!M:N,2,FALSE)</f>
        <v>Raw Mill-1</v>
      </c>
      <c r="C64" t="str">
        <f>VLOOKUP(A64,PLCW!O:P,2,FALSE)</f>
        <v>N-PLCW1-RM1-WE-QC-TONS_60</v>
      </c>
    </row>
    <row r="65" spans="1:3" x14ac:dyDescent="0.35">
      <c r="A65" t="s">
        <v>1725</v>
      </c>
      <c r="B65" t="str">
        <f>VLOOKUP('PLCW-CBA'!A65,PLCW!M:N,2,FALSE)</f>
        <v>Raw Mill-1</v>
      </c>
      <c r="C65" t="str">
        <f>VLOOKUP(A65,PLCW!O:P,2,FALSE)</f>
        <v>N-PLCW1-RM1-WE-QC-TONS_P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F515D-F648-4047-8D1B-C5ABCF9E526F}">
  <dimension ref="A1:C63"/>
  <sheetViews>
    <sheetView workbookViewId="0">
      <selection activeCell="H16" sqref="H16"/>
    </sheetView>
  </sheetViews>
  <sheetFormatPr defaultRowHeight="14.5" x14ac:dyDescent="0.35"/>
  <cols>
    <col min="1" max="1" width="28" customWidth="1"/>
    <col min="2" max="2" width="18" customWidth="1"/>
    <col min="3" max="3" width="18.7265625" customWidth="1"/>
  </cols>
  <sheetData>
    <row r="1" spans="1:3" x14ac:dyDescent="0.35">
      <c r="A1" t="s">
        <v>12</v>
      </c>
      <c r="B1" t="s">
        <v>5</v>
      </c>
      <c r="C1" t="s">
        <v>13</v>
      </c>
    </row>
    <row r="2" spans="1:3" x14ac:dyDescent="0.35">
      <c r="A2" t="s">
        <v>340</v>
      </c>
      <c r="B2" t="str">
        <f>VLOOKUP(A2,PLCW!M:N,2,FALSE)</f>
        <v>Cement Mill</v>
      </c>
      <c r="C2" t="str">
        <f>VLOOKUP(A2,PLCW!O:P,2,FALSE)</f>
        <v>N-PLCW1-CM1-F-FSP-CM_531WI1AI01</v>
      </c>
    </row>
    <row r="3" spans="1:3" x14ac:dyDescent="0.35">
      <c r="A3" t="s">
        <v>345</v>
      </c>
      <c r="B3" t="str">
        <f>VLOOKUP(A3,PLCW!M:N,2,FALSE)</f>
        <v>Cement Mill</v>
      </c>
      <c r="C3" t="str">
        <f>VLOOKUP(A3,PLCW!O:P,2,FALSE)</f>
        <v>N-PLCW1-CM1-F-FSP-CM_531WI1AI02</v>
      </c>
    </row>
    <row r="4" spans="1:3" x14ac:dyDescent="0.35">
      <c r="A4" t="s">
        <v>350</v>
      </c>
      <c r="B4" t="str">
        <f>VLOOKUP(A4,PLCW!M:N,2,FALSE)</f>
        <v>Cement Mill</v>
      </c>
      <c r="C4" t="str">
        <f>VLOOKUP(A4,PLCW!O:P,2,FALSE)</f>
        <v>N-PLCW1-CM1-F-FSP-CM_531WI1AI03</v>
      </c>
    </row>
    <row r="5" spans="1:3" x14ac:dyDescent="0.35">
      <c r="A5" t="s">
        <v>355</v>
      </c>
      <c r="B5" t="str">
        <f>VLOOKUP(A5,PLCW!M:N,2,FALSE)</f>
        <v>Cement Mill</v>
      </c>
      <c r="C5" t="str">
        <f>VLOOKUP(A5,PLCW!O:P,2,FALSE)</f>
        <v>N-PLCW1-CM1-F-FSP-CM_531WI1AI04</v>
      </c>
    </row>
    <row r="6" spans="1:3" x14ac:dyDescent="0.35">
      <c r="A6" t="s">
        <v>360</v>
      </c>
      <c r="B6" t="str">
        <f>VLOOKUP(A6,PLCW!M:N,2,FALSE)</f>
        <v>Cement Mill</v>
      </c>
      <c r="C6" t="str">
        <f>VLOOKUP(A6,PLCW!O:P,2,FALSE)</f>
        <v>N-PLCW1-CM1-F-FSP-CM_531WI1AI05</v>
      </c>
    </row>
    <row r="7" spans="1:3" x14ac:dyDescent="0.35">
      <c r="A7" t="s">
        <v>365</v>
      </c>
      <c r="B7" t="str">
        <f>VLOOKUP(A7,PLCW!M:N,2,FALSE)</f>
        <v>Cement Mill</v>
      </c>
      <c r="C7" t="str">
        <f>VLOOKUP(A7,PLCW!O:P,2,FALSE)</f>
        <v>N-PLCW1-CM1-F-PV-CM_531WF1_FR</v>
      </c>
    </row>
    <row r="8" spans="1:3" x14ac:dyDescent="0.35">
      <c r="A8" t="s">
        <v>371</v>
      </c>
      <c r="B8" t="str">
        <f>VLOOKUP(A8,PLCW!M:N,2,FALSE)</f>
        <v>Cement Mill</v>
      </c>
      <c r="C8" t="str">
        <f>VLOOKUP(A8,PLCW!O:P,2,FALSE)</f>
        <v>N-PLCW1-CM1-F-PV-CM_531WF2_FR</v>
      </c>
    </row>
    <row r="9" spans="1:3" x14ac:dyDescent="0.35">
      <c r="A9" t="s">
        <v>377</v>
      </c>
      <c r="B9" t="str">
        <f>VLOOKUP(A9,PLCW!M:N,2,FALSE)</f>
        <v>Cement Mill</v>
      </c>
      <c r="C9" t="str">
        <f>VLOOKUP(A9,PLCW!O:P,2,FALSE)</f>
        <v>N-PLCW1-CM1-F-PV-CM_531WF3_FR</v>
      </c>
    </row>
    <row r="10" spans="1:3" x14ac:dyDescent="0.35">
      <c r="A10" t="s">
        <v>383</v>
      </c>
      <c r="B10" t="str">
        <f>VLOOKUP(A10,PLCW!M:N,2,FALSE)</f>
        <v>Cement Mill</v>
      </c>
      <c r="C10" t="str">
        <f>VLOOKUP(A10,PLCW!O:P,2,FALSE)</f>
        <v>N-PLCW1-CM1-F-PV-CM_531WF4_FR</v>
      </c>
    </row>
    <row r="11" spans="1:3" x14ac:dyDescent="0.35">
      <c r="A11" t="s">
        <v>400</v>
      </c>
      <c r="B11" t="str">
        <f>VLOOKUP(A11,PLCW!M:N,2,FALSE)</f>
        <v>Cement Mill</v>
      </c>
      <c r="C11" t="str">
        <f>VLOOKUP(A11,PLCW!O:P,2,FALSE)</f>
        <v>N-PLCW1-CM1-F-PV-CM_K31FM1_FI</v>
      </c>
    </row>
    <row r="12" spans="1:3" x14ac:dyDescent="0.35">
      <c r="A12" t="s">
        <v>412</v>
      </c>
      <c r="B12" t="str">
        <f>VLOOKUP(A12,PLCW!M:N,2,FALSE)</f>
        <v>Cement Mill</v>
      </c>
      <c r="C12" t="str">
        <f>VLOOKUP(A12,PLCW!O:P,2,FALSE)</f>
        <v>N-PLCW1-CM1-I-PV-CM_561BE1_M01II_B</v>
      </c>
    </row>
    <row r="13" spans="1:3" x14ac:dyDescent="0.35">
      <c r="A13" t="s">
        <v>1726</v>
      </c>
      <c r="B13" t="e">
        <f>VLOOKUP(A13,PLCW!M:N,2,FALSE)</f>
        <v>#N/A</v>
      </c>
      <c r="C13" t="e">
        <f>VLOOKUP(A13,PLCW!O:P,2,FALSE)</f>
        <v>#N/A</v>
      </c>
    </row>
    <row r="14" spans="1:3" x14ac:dyDescent="0.35">
      <c r="A14" t="s">
        <v>1727</v>
      </c>
      <c r="B14" t="e">
        <f>VLOOKUP(A14,PLCW!M:N,2,FALSE)</f>
        <v>#N/A</v>
      </c>
      <c r="C14" t="e">
        <f>VLOOKUP(A14,PLCW!O:P,2,FALSE)</f>
        <v>#N/A</v>
      </c>
    </row>
    <row r="15" spans="1:3" x14ac:dyDescent="0.35">
      <c r="A15" t="s">
        <v>1728</v>
      </c>
      <c r="B15" t="e">
        <f>VLOOKUP(A15,PLCW!M:N,2,FALSE)</f>
        <v>#N/A</v>
      </c>
      <c r="C15" t="e">
        <f>VLOOKUP(A15,PLCW!O:P,2,FALSE)</f>
        <v>#N/A</v>
      </c>
    </row>
    <row r="16" spans="1:3" x14ac:dyDescent="0.35">
      <c r="A16" t="s">
        <v>609</v>
      </c>
      <c r="B16" t="str">
        <f>VLOOKUP(A16,PLCW!M:N,2,FALSE)</f>
        <v>Cement Mill</v>
      </c>
      <c r="C16" t="str">
        <f>VLOOKUP(A16,PLCW!O:P,2,FALSE)</f>
        <v>N-PLCW1-CM1-X-PV-CM_561CM1_XT03</v>
      </c>
    </row>
    <row r="17" spans="1:3" x14ac:dyDescent="0.35">
      <c r="A17" t="s">
        <v>498</v>
      </c>
      <c r="B17" t="str">
        <f>VLOOKUP(A17,PLCW!M:N,2,FALSE)</f>
        <v>Cement Mill</v>
      </c>
      <c r="C17" t="str">
        <f>VLOOKUP(A17,PLCW!O:P,2,FALSE)</f>
        <v>N-PLCW1-CM1-P-PV-CM_561CM1_PT1_PT2</v>
      </c>
    </row>
    <row r="18" spans="1:3" x14ac:dyDescent="0.35">
      <c r="A18" t="s">
        <v>445</v>
      </c>
      <c r="B18" t="str">
        <f>VLOOKUP(A18,PLCW!M:N,2,FALSE)</f>
        <v>Cement Mill</v>
      </c>
      <c r="C18" t="str">
        <f>VLOOKUP(A18,PLCW!O:P,2,FALSE)</f>
        <v>N-PLCW1-CM1-L-PV-CM_561HT1_S01AI01</v>
      </c>
    </row>
    <row r="19" spans="1:3" x14ac:dyDescent="0.35">
      <c r="A19" t="s">
        <v>603</v>
      </c>
      <c r="B19" t="str">
        <f>VLOOKUP(A19,PLCW!M:N,2,FALSE)</f>
        <v>Cement Mill</v>
      </c>
      <c r="C19" t="str">
        <f>VLOOKUP(A19,PLCW!O:P,2,FALSE)</f>
        <v>N-PLCW1-CM1-X-PV-CM_561CM1_XT01</v>
      </c>
    </row>
    <row r="20" spans="1:3" x14ac:dyDescent="0.35">
      <c r="A20" t="s">
        <v>614</v>
      </c>
      <c r="B20" t="str">
        <f>VLOOKUP(A20,PLCW!M:N,2,FALSE)</f>
        <v>Cement Mill</v>
      </c>
      <c r="C20" t="str">
        <f>VLOOKUP(A20,PLCW!O:P,2,FALSE)</f>
        <v>N-PLCW1-CM1-X-PV-CM_561CM1_XT04</v>
      </c>
    </row>
    <row r="21" spans="1:3" x14ac:dyDescent="0.35">
      <c r="A21" t="s">
        <v>440</v>
      </c>
      <c r="B21" t="str">
        <f>VLOOKUP(A21,PLCW!M:N,2,FALSE)</f>
        <v>Cement Mill</v>
      </c>
      <c r="C21" t="str">
        <f>VLOOKUP(A21,PLCW!O:P,2,FALSE)</f>
        <v>N-PLCW1-CM1-J-PV-CM_561MD1_JI</v>
      </c>
    </row>
    <row r="22" spans="1:3" x14ac:dyDescent="0.35">
      <c r="A22" t="s">
        <v>514</v>
      </c>
      <c r="B22" t="str">
        <f>VLOOKUP(A22,PLCW!M:N,2,FALSE)</f>
        <v>Cement Mill</v>
      </c>
      <c r="C22" t="str">
        <f>VLOOKUP(A22,PLCW!O:P,2,FALSE)</f>
        <v>N-PLCW1-CM1-P-PV-CM_561HT1_PT14</v>
      </c>
    </row>
    <row r="23" spans="1:3" x14ac:dyDescent="0.35">
      <c r="A23" t="s">
        <v>519</v>
      </c>
      <c r="B23" t="str">
        <f>VLOOKUP(A23,PLCW!M:N,2,FALSE)</f>
        <v>Cement Mill</v>
      </c>
      <c r="C23" t="str">
        <f>VLOOKUP(A23,PLCW!O:P,2,FALSE)</f>
        <v>N-PLCW1-CM1-P-PV-CM_561HT1_PT25</v>
      </c>
    </row>
    <row r="24" spans="1:3" x14ac:dyDescent="0.35">
      <c r="A24" t="s">
        <v>524</v>
      </c>
      <c r="B24" t="str">
        <f>VLOOKUP(A24,PLCW!M:N,2,FALSE)</f>
        <v>Cement Mill</v>
      </c>
      <c r="C24" t="str">
        <f>VLOOKUP(A24,PLCW!O:P,2,FALSE)</f>
        <v>N-PLCW1-CM1-P-PV-CM_561HT1_PT36</v>
      </c>
    </row>
    <row r="25" spans="1:3" x14ac:dyDescent="0.35">
      <c r="A25" t="s">
        <v>503</v>
      </c>
      <c r="B25" t="str">
        <f>VLOOKUP(A25,PLCW!M:N,2,FALSE)</f>
        <v>Cement Mill</v>
      </c>
      <c r="C25" t="str">
        <f>VLOOKUP(A25,PLCW!O:P,2,FALSE)</f>
        <v>N-PLCW1-CM1-P-PV-CM_561CM1_PT2</v>
      </c>
    </row>
    <row r="26" spans="1:3" x14ac:dyDescent="0.35">
      <c r="A26" t="s">
        <v>395</v>
      </c>
      <c r="B26" t="str">
        <f>VLOOKUP(A26,PLCW!M:N,2,FALSE)</f>
        <v>Cement Mill</v>
      </c>
      <c r="C26" t="str">
        <f>VLOOKUP(A26,PLCW!O:P,2,FALSE)</f>
        <v>N-PLCW1-CM1-F-PV-CM_561WI1_FT</v>
      </c>
    </row>
    <row r="27" spans="1:3" x14ac:dyDescent="0.35">
      <c r="A27" t="s">
        <v>389</v>
      </c>
      <c r="B27" t="str">
        <f>VLOOKUP(A27,PLCW!M:N,2,FALSE)</f>
        <v>Cement Mill</v>
      </c>
      <c r="C27" t="str">
        <f>VLOOKUP(A27,PLCW!O:P,2,FALSE)</f>
        <v>N-PLCW1-CM1-F-PV-CM_561BW1_FR</v>
      </c>
    </row>
    <row r="28" spans="1:3" x14ac:dyDescent="0.35">
      <c r="A28" t="s">
        <v>1729</v>
      </c>
      <c r="B28" t="e">
        <f>VLOOKUP(A28,PLCW!M:N,2,FALSE)</f>
        <v>#N/A</v>
      </c>
      <c r="C28" t="e">
        <f>VLOOKUP(A28,PLCW!O:P,2,FALSE)</f>
        <v>#N/A</v>
      </c>
    </row>
    <row r="29" spans="1:3" x14ac:dyDescent="0.35">
      <c r="A29" t="s">
        <v>86</v>
      </c>
      <c r="B29" t="e">
        <f>VLOOKUP(A29,PLCW!M:N,2,FALSE)</f>
        <v>#N/A</v>
      </c>
      <c r="C29" t="e">
        <f>VLOOKUP(A29,PLCW!O:P,2,FALSE)</f>
        <v>#N/A</v>
      </c>
    </row>
    <row r="30" spans="1:3" x14ac:dyDescent="0.35">
      <c r="A30" t="s">
        <v>545</v>
      </c>
      <c r="B30" t="str">
        <f>VLOOKUP(A30,PLCW!M:N,2,FALSE)</f>
        <v>Cement Mill</v>
      </c>
      <c r="C30" t="str">
        <f>VLOOKUP(A30,PLCW!O:P,2,FALSE)</f>
        <v>N-PLCW1-CM1-R-PV-CM_561SR1_SI</v>
      </c>
    </row>
    <row r="31" spans="1:3" x14ac:dyDescent="0.35">
      <c r="A31" t="s">
        <v>1730</v>
      </c>
      <c r="B31" t="e">
        <f>VLOOKUP(A31,PLCW!M:N,2,FALSE)</f>
        <v>#N/A</v>
      </c>
      <c r="C31" t="e">
        <f>VLOOKUP(A31,PLCW!O:P,2,FALSE)</f>
        <v>#N/A</v>
      </c>
    </row>
    <row r="32" spans="1:3" x14ac:dyDescent="0.35">
      <c r="A32" t="s">
        <v>535</v>
      </c>
      <c r="B32" t="str">
        <f>VLOOKUP(A32,PLCW!M:N,2,FALSE)</f>
        <v>Cement Mill</v>
      </c>
      <c r="C32" t="str">
        <f>VLOOKUP(A32,PLCW!O:P,2,FALSE)</f>
        <v>N-PLCW1-CM1-R-FSP-CM_561SR1_SPSPM</v>
      </c>
    </row>
    <row r="33" spans="1:3" x14ac:dyDescent="0.35">
      <c r="A33" t="s">
        <v>406</v>
      </c>
      <c r="B33" t="str">
        <f>VLOOKUP(A33,PLCW!M:N,2,FALSE)</f>
        <v>Cement Mill</v>
      </c>
      <c r="C33" t="str">
        <f>VLOOKUP(A33,PLCW!O:P,2,FALSE)</f>
        <v>N-PLCW1-CM1-F-PV-CM_MAT_FEED_GRP_FBAI01</v>
      </c>
    </row>
    <row r="34" spans="1:3" x14ac:dyDescent="0.35">
      <c r="A34" t="s">
        <v>581</v>
      </c>
      <c r="B34" t="str">
        <f>VLOOKUP(A34,PLCW!M:N,2,FALSE)</f>
        <v>Cement Mill</v>
      </c>
      <c r="C34" t="str">
        <f>VLOOKUP(A34,PLCW!O:P,2,FALSE)</f>
        <v>N-PLCW1-CM1-T-PV-CM_561BF3_TT1</v>
      </c>
    </row>
    <row r="35" spans="1:3" x14ac:dyDescent="0.35">
      <c r="A35" t="s">
        <v>488</v>
      </c>
      <c r="B35" t="str">
        <f>VLOOKUP(A35,PLCW!M:N,2,FALSE)</f>
        <v>Cement Mill</v>
      </c>
      <c r="C35" t="str">
        <f>VLOOKUP(A35,PLCW!O:P,2,FALSE)</f>
        <v>N-PLCW1-CM1-P-PV-CM_561BF3_PT03</v>
      </c>
    </row>
    <row r="36" spans="1:3" x14ac:dyDescent="0.35">
      <c r="A36" t="s">
        <v>509</v>
      </c>
      <c r="B36" t="str">
        <f>VLOOKUP(A36,PLCW!M:N,2,FALSE)</f>
        <v>Cement Mill</v>
      </c>
      <c r="C36" t="str">
        <f>VLOOKUP(A36,PLCW!O:P,2,FALSE)</f>
        <v>N-PLCW1-CM1-P-PV-CM_561CM1_PT3</v>
      </c>
    </row>
    <row r="37" spans="1:3" x14ac:dyDescent="0.35">
      <c r="A37" t="s">
        <v>597</v>
      </c>
      <c r="B37" t="str">
        <f>VLOOKUP(A37,PLCW!M:N,2,FALSE)</f>
        <v>Cement Mill</v>
      </c>
      <c r="C37" t="str">
        <f>VLOOKUP(A37,PLCW!O:P,2,FALSE)</f>
        <v>N-PLCW1-CM1-T-PV-CM_561CM1_TT2</v>
      </c>
    </row>
    <row r="38" spans="1:3" x14ac:dyDescent="0.35">
      <c r="A38" t="s">
        <v>540</v>
      </c>
      <c r="B38" t="str">
        <f>VLOOKUP(A38,PLCW!M:N,2,FALSE)</f>
        <v>Cement Mill</v>
      </c>
      <c r="C38" t="str">
        <f>VLOOKUP(A38,PLCW!O:P,2,FALSE)</f>
        <v>N-PLCW1-CM1-R-PV-CM_561FN3_SI</v>
      </c>
    </row>
    <row r="39" spans="1:3" x14ac:dyDescent="0.35">
      <c r="A39" t="s">
        <v>529</v>
      </c>
      <c r="B39" t="str">
        <f>VLOOKUP(A39,PLCW!M:N,2,FALSE)</f>
        <v>Cement Mill</v>
      </c>
      <c r="C39" t="str">
        <f>VLOOKUP(A39,PLCW!O:P,2,FALSE)</f>
        <v>N-PLCW1-CM1-R-FSP-CM_561FN3_SPSPM</v>
      </c>
    </row>
    <row r="40" spans="1:3" x14ac:dyDescent="0.35">
      <c r="A40" t="s">
        <v>1731</v>
      </c>
      <c r="B40" t="e">
        <f>VLOOKUP(A40,PLCW!M:N,2,FALSE)</f>
        <v>#N/A</v>
      </c>
      <c r="C40" t="e">
        <f>VLOOKUP(A40,PLCW!O:P,2,FALSE)</f>
        <v>#N/A</v>
      </c>
    </row>
    <row r="41" spans="1:3" x14ac:dyDescent="0.35">
      <c r="A41" t="s">
        <v>423</v>
      </c>
      <c r="B41" t="str">
        <f>VLOOKUP(A41,PLCW!M:N,2,FALSE)</f>
        <v>Cement Mill</v>
      </c>
      <c r="C41" t="str">
        <f>VLOOKUP(A41,PLCW!O:P,2,FALSE)</f>
        <v>N-PLCW1-CM1-I-PV-CM_591BE1_M01II_B</v>
      </c>
    </row>
    <row r="42" spans="1:3" x14ac:dyDescent="0.35">
      <c r="A42" t="s">
        <v>417</v>
      </c>
      <c r="B42" t="str">
        <f>VLOOKUP(A42,PLCW!M:N,2,FALSE)</f>
        <v>Cement Mill</v>
      </c>
      <c r="C42" t="str">
        <f>VLOOKUP(A42,PLCW!O:P,2,FALSE)</f>
        <v>N-PLCW1-CM1-I-PV-CM_561FN3_II</v>
      </c>
    </row>
    <row r="43" spans="1:3" x14ac:dyDescent="0.35">
      <c r="A43" t="s">
        <v>429</v>
      </c>
      <c r="B43" t="str">
        <f>VLOOKUP(A43,PLCW!M:N,2,FALSE)</f>
        <v>Cement Mill</v>
      </c>
      <c r="C43" t="str">
        <f>VLOOKUP(A43,PLCW!O:P,2,FALSE)</f>
        <v>N-PLCW1-CM1-J-PV-CMSS_HT_MFM9_TOT_ACT_PWR</v>
      </c>
    </row>
    <row r="44" spans="1:3" x14ac:dyDescent="0.35">
      <c r="A44" t="s">
        <v>592</v>
      </c>
      <c r="B44" t="str">
        <f>VLOOKUP(A44,PLCW!M:N,2,FALSE)</f>
        <v>Cement Mill</v>
      </c>
      <c r="C44" t="str">
        <f>VLOOKUP(A44,PLCW!O:P,2,FALSE)</f>
        <v>N-PLCW1-CM1-T-PV-CM_561CM1_TT1</v>
      </c>
    </row>
    <row r="45" spans="1:3" x14ac:dyDescent="0.35">
      <c r="A45" t="s">
        <v>493</v>
      </c>
      <c r="B45" t="str">
        <f>VLOOKUP(A45,PLCW!M:N,2,FALSE)</f>
        <v>Cement Mill</v>
      </c>
      <c r="C45" t="str">
        <f>VLOOKUP(A45,PLCW!O:P,2,FALSE)</f>
        <v>N-PLCW1-CM1-P-PV-CM_561CM1_PT1</v>
      </c>
    </row>
    <row r="46" spans="1:3" x14ac:dyDescent="0.35">
      <c r="A46" t="s">
        <v>1732</v>
      </c>
      <c r="B46" t="e">
        <f>VLOOKUP(A46,PLCW!M:N,2,FALSE)</f>
        <v>#N/A</v>
      </c>
      <c r="C46" t="e">
        <f>VLOOKUP(A46,PLCW!O:P,2,FALSE)</f>
        <v>#N/A</v>
      </c>
    </row>
    <row r="47" spans="1:3" x14ac:dyDescent="0.35">
      <c r="A47" t="s">
        <v>450</v>
      </c>
      <c r="B47" t="str">
        <f>VLOOKUP(A47,PLCW!M:N,2,FALSE)</f>
        <v>Cement Mill</v>
      </c>
      <c r="C47" t="str">
        <f>VLOOKUP(A47,PLCW!O:P,2,FALSE)</f>
        <v>N-PLCW1-CM1-L-PV-CM_591SBLI1_LT</v>
      </c>
    </row>
    <row r="48" spans="1:3" x14ac:dyDescent="0.35">
      <c r="A48" t="s">
        <v>456</v>
      </c>
      <c r="B48" t="str">
        <f>VLOOKUP(A48,PLCW!M:N,2,FALSE)</f>
        <v>Cement Mill</v>
      </c>
      <c r="C48" t="str">
        <f>VLOOKUP(A48,PLCW!O:P,2,FALSE)</f>
        <v>N-PLCW1-CM1-L-PV-CM_591SBLI2_LT</v>
      </c>
    </row>
    <row r="49" spans="1:3" x14ac:dyDescent="0.35">
      <c r="A49" t="s">
        <v>460</v>
      </c>
      <c r="B49" t="str">
        <f>VLOOKUP(A49,PLCW!M:N,2,FALSE)</f>
        <v>Cement Mill</v>
      </c>
      <c r="C49" t="str">
        <f>VLOOKUP(A49,PLCW!O:P,2,FALSE)</f>
        <v>N-PLCW1-CM1-L-PV-CM_591SBLI3_LT</v>
      </c>
    </row>
    <row r="50" spans="1:3" x14ac:dyDescent="0.35">
      <c r="A50" t="s">
        <v>1733</v>
      </c>
      <c r="B50" t="e">
        <f>VLOOKUP(A50,PLCW!M:N,2,FALSE)</f>
        <v>#N/A</v>
      </c>
      <c r="C50" t="e">
        <f>VLOOKUP(A50,PLCW!O:P,2,FALSE)</f>
        <v>#N/A</v>
      </c>
    </row>
    <row r="51" spans="1:3" x14ac:dyDescent="0.35">
      <c r="A51" t="s">
        <v>465</v>
      </c>
      <c r="B51" t="str">
        <f>VLOOKUP(A51,PLCW!M:N,2,FALSE)</f>
        <v>Cement Mill</v>
      </c>
      <c r="C51" t="str">
        <f>VLOOKUP(A51,PLCW!O:P,2,FALSE)</f>
        <v>N-PLCW1-CM1-L-PV-CM_591SBLI4_LT</v>
      </c>
    </row>
    <row r="52" spans="1:3" x14ac:dyDescent="0.35">
      <c r="A52" t="s">
        <v>469</v>
      </c>
      <c r="B52" t="str">
        <f>VLOOKUP(A52,PLCW!M:N,2,FALSE)</f>
        <v>Cement Mill</v>
      </c>
      <c r="C52" t="str">
        <f>VLOOKUP(A52,PLCW!O:P,2,FALSE)</f>
        <v>N-PLCW1-CM1-L-PV-CM_591SBLI5_LT</v>
      </c>
    </row>
    <row r="53" spans="1:3" x14ac:dyDescent="0.35">
      <c r="A53" t="s">
        <v>473</v>
      </c>
      <c r="B53" t="str">
        <f>VLOOKUP(A53,PLCW!M:N,2,FALSE)</f>
        <v>Cement Mill</v>
      </c>
      <c r="C53" t="str">
        <f>VLOOKUP(A53,PLCW!O:P,2,FALSE)</f>
        <v>N-PLCW1-CM1-L-PV-CM_591SBLI6_LT</v>
      </c>
    </row>
    <row r="54" spans="1:3" x14ac:dyDescent="0.35">
      <c r="A54" t="s">
        <v>1734</v>
      </c>
      <c r="B54" t="e">
        <f>VLOOKUP(A54,PLCW!M:N,2,FALSE)</f>
        <v>#N/A</v>
      </c>
      <c r="C54" t="e">
        <f>VLOOKUP(A54,PLCW!O:P,2,FALSE)</f>
        <v>#N/A</v>
      </c>
    </row>
    <row r="55" spans="1:3" x14ac:dyDescent="0.35">
      <c r="A55" t="s">
        <v>478</v>
      </c>
      <c r="B55" t="str">
        <f>VLOOKUP(A55,PLCW!M:N,2,FALSE)</f>
        <v>Cement Mill</v>
      </c>
      <c r="C55" t="str">
        <f>VLOOKUP(A55,PLCW!O:P,2,FALSE)</f>
        <v>N-PLCW1-CM1-P-PV-CM_561BF3_DPT03</v>
      </c>
    </row>
    <row r="56" spans="1:3" x14ac:dyDescent="0.35">
      <c r="A56" t="s">
        <v>587</v>
      </c>
      <c r="B56" t="str">
        <f>VLOOKUP(A56,PLCW!M:N,2,FALSE)</f>
        <v>Cement Mill</v>
      </c>
      <c r="C56" t="str">
        <f>VLOOKUP(A56,PLCW!O:P,2,FALSE)</f>
        <v>N-PLCW1-CM1-T-PV-CM_561BF3_TT2</v>
      </c>
    </row>
    <row r="57" spans="1:3" x14ac:dyDescent="0.35">
      <c r="A57" t="s">
        <v>483</v>
      </c>
      <c r="B57" t="str">
        <f>VLOOKUP(A57,PLCW!M:N,2,FALSE)</f>
        <v>Cement Mill</v>
      </c>
      <c r="C57" t="str">
        <f>VLOOKUP(A57,PLCW!O:P,2,FALSE)</f>
        <v>N-PLCW1-CM1-P-PV-CM_561BF3_PT02</v>
      </c>
    </row>
    <row r="58" spans="1:3" x14ac:dyDescent="0.35">
      <c r="A58" t="s">
        <v>1735</v>
      </c>
      <c r="B58" t="e">
        <f>VLOOKUP(A58,PLCW!M:N,2,FALSE)</f>
        <v>#N/A</v>
      </c>
      <c r="C58" t="e">
        <f>VLOOKUP(A58,PLCW!O:P,2,FALSE)</f>
        <v>#N/A</v>
      </c>
    </row>
    <row r="59" spans="1:3" x14ac:dyDescent="0.35">
      <c r="A59" t="s">
        <v>1736</v>
      </c>
      <c r="B59" t="e">
        <f>VLOOKUP(A59,PLCW!M:N,2,FALSE)</f>
        <v>#N/A</v>
      </c>
      <c r="C59" t="e">
        <f>VLOOKUP(A59,PLCW!O:P,2,FALSE)</f>
        <v>#N/A</v>
      </c>
    </row>
    <row r="60" spans="1:3" x14ac:dyDescent="0.35">
      <c r="A60" t="s">
        <v>1737</v>
      </c>
      <c r="B60" t="e">
        <f>VLOOKUP(A60,PLCW!M:N,2,FALSE)</f>
        <v>#N/A</v>
      </c>
      <c r="C60" t="e">
        <f>VLOOKUP(A60,PLCW!O:P,2,FALSE)</f>
        <v>#N/A</v>
      </c>
    </row>
    <row r="61" spans="1:3" x14ac:dyDescent="0.35">
      <c r="A61" t="s">
        <v>1738</v>
      </c>
      <c r="B61" t="e">
        <f>VLOOKUP(A61,PLCW!M:N,2,FALSE)</f>
        <v>#N/A</v>
      </c>
      <c r="C61" t="e">
        <f>VLOOKUP(A61,PLCW!O:P,2,FALSE)</f>
        <v>#N/A</v>
      </c>
    </row>
    <row r="62" spans="1:3" x14ac:dyDescent="0.35">
      <c r="A62" t="s">
        <v>1739</v>
      </c>
      <c r="B62" t="e">
        <f>VLOOKUP(A62,PLCW!M:N,2,FALSE)</f>
        <v>#N/A</v>
      </c>
      <c r="C62" t="e">
        <f>VLOOKUP(A62,PLCW!O:P,2,FALSE)</f>
        <v>#N/A</v>
      </c>
    </row>
    <row r="63" spans="1:3" x14ac:dyDescent="0.35">
      <c r="A63" t="s">
        <v>1740</v>
      </c>
      <c r="B63" t="e">
        <f>VLOOKUP(A63,PLCW!M:N,2,FALSE)</f>
        <v>#N/A</v>
      </c>
      <c r="C63" t="e">
        <f>VLOOKUP(A63,PLCW!O:P,2,FALSE)</f>
        <v>#N/A</v>
      </c>
    </row>
  </sheetData>
  <autoFilter ref="A1:C63" xr:uid="{147F515D-F648-4047-8D1B-C5ABCF9E526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0EAA5-62B2-4CA5-9DC8-2A458C531413}">
  <dimension ref="A1:C170"/>
  <sheetViews>
    <sheetView workbookViewId="0">
      <selection activeCell="C2" sqref="C2:C170"/>
    </sheetView>
  </sheetViews>
  <sheetFormatPr defaultRowHeight="14.5" x14ac:dyDescent="0.35"/>
  <cols>
    <col min="1" max="1" width="27" customWidth="1"/>
    <col min="2" max="2" width="14.453125" customWidth="1"/>
    <col min="3" max="3" width="19.54296875" customWidth="1"/>
  </cols>
  <sheetData>
    <row r="1" spans="1:3" x14ac:dyDescent="0.35">
      <c r="A1" t="s">
        <v>12</v>
      </c>
      <c r="B1" t="s">
        <v>5</v>
      </c>
      <c r="C1" t="s">
        <v>13</v>
      </c>
    </row>
    <row r="2" spans="1:3" x14ac:dyDescent="0.35">
      <c r="A2" t="s">
        <v>1741</v>
      </c>
      <c r="B2" t="e">
        <f>VLOOKUP(A2,PLCW!M:N,2,FALSE)</f>
        <v>#N/A</v>
      </c>
      <c r="C2" t="e">
        <f>VLOOKUP(A2,PLCW!O:P,2,FALSE)</f>
        <v>#N/A</v>
      </c>
    </row>
    <row r="3" spans="1:3" x14ac:dyDescent="0.35">
      <c r="A3" t="s">
        <v>1742</v>
      </c>
      <c r="B3" t="e">
        <f>VLOOKUP(A3,PLCW!M:N,2,FALSE)</f>
        <v>#N/A</v>
      </c>
      <c r="C3" t="e">
        <f>VLOOKUP(A3,PLCW!O:P,2,FALSE)</f>
        <v>#N/A</v>
      </c>
    </row>
    <row r="4" spans="1:3" x14ac:dyDescent="0.35">
      <c r="A4" t="s">
        <v>1743</v>
      </c>
      <c r="B4" t="e">
        <f>VLOOKUP(A4,PLCW!M:N,2,FALSE)</f>
        <v>#N/A</v>
      </c>
      <c r="C4" t="e">
        <f>VLOOKUP(A4,PLCW!O:P,2,FALSE)</f>
        <v>#N/A</v>
      </c>
    </row>
    <row r="5" spans="1:3" x14ac:dyDescent="0.35">
      <c r="A5" t="s">
        <v>1744</v>
      </c>
      <c r="B5" t="e">
        <f>VLOOKUP(A5,PLCW!M:N,2,FALSE)</f>
        <v>#N/A</v>
      </c>
      <c r="C5" t="e">
        <f>VLOOKUP(A5,PLCW!O:P,2,FALSE)</f>
        <v>#N/A</v>
      </c>
    </row>
    <row r="6" spans="1:3" x14ac:dyDescent="0.35">
      <c r="A6" t="s">
        <v>1745</v>
      </c>
      <c r="B6" t="e">
        <f>VLOOKUP(A6,PLCW!M:N,2,FALSE)</f>
        <v>#N/A</v>
      </c>
      <c r="C6" t="e">
        <f>VLOOKUP(A6,PLCW!O:P,2,FALSE)</f>
        <v>#N/A</v>
      </c>
    </row>
    <row r="7" spans="1:3" x14ac:dyDescent="0.35">
      <c r="A7" t="s">
        <v>1746</v>
      </c>
      <c r="B7" t="e">
        <f>VLOOKUP(A7,PLCW!M:N,2,FALSE)</f>
        <v>#N/A</v>
      </c>
      <c r="C7" t="e">
        <f>VLOOKUP(A7,PLCW!O:P,2,FALSE)</f>
        <v>#N/A</v>
      </c>
    </row>
    <row r="8" spans="1:3" x14ac:dyDescent="0.35">
      <c r="A8" t="s">
        <v>1747</v>
      </c>
      <c r="B8" t="e">
        <f>VLOOKUP(A8,PLCW!M:N,2,FALSE)</f>
        <v>#N/A</v>
      </c>
      <c r="C8" t="e">
        <f>VLOOKUP(A8,PLCW!O:P,2,FALSE)</f>
        <v>#N/A</v>
      </c>
    </row>
    <row r="9" spans="1:3" x14ac:dyDescent="0.35">
      <c r="A9" t="s">
        <v>1748</v>
      </c>
      <c r="B9" t="e">
        <f>VLOOKUP(A9,PLCW!M:N,2,FALSE)</f>
        <v>#N/A</v>
      </c>
      <c r="C9" t="e">
        <f>VLOOKUP(A9,PLCW!O:P,2,FALSE)</f>
        <v>#N/A</v>
      </c>
    </row>
    <row r="10" spans="1:3" x14ac:dyDescent="0.35">
      <c r="A10" t="s">
        <v>1749</v>
      </c>
      <c r="B10" t="e">
        <f>VLOOKUP(A10,PLCW!M:N,2,FALSE)</f>
        <v>#N/A</v>
      </c>
      <c r="C10" t="e">
        <f>VLOOKUP(A10,PLCW!O:P,2,FALSE)</f>
        <v>#N/A</v>
      </c>
    </row>
    <row r="11" spans="1:3" x14ac:dyDescent="0.35">
      <c r="A11" t="s">
        <v>1750</v>
      </c>
      <c r="B11" t="e">
        <f>VLOOKUP(A11,PLCW!M:N,2,FALSE)</f>
        <v>#N/A</v>
      </c>
      <c r="C11" t="e">
        <f>VLOOKUP(A11,PLCW!O:P,2,FALSE)</f>
        <v>#N/A</v>
      </c>
    </row>
    <row r="12" spans="1:3" x14ac:dyDescent="0.35">
      <c r="A12" t="s">
        <v>1751</v>
      </c>
      <c r="B12" t="e">
        <f>VLOOKUP(A12,PLCW!M:N,2,FALSE)</f>
        <v>#N/A</v>
      </c>
      <c r="C12" t="e">
        <f>VLOOKUP(A12,PLCW!O:P,2,FALSE)</f>
        <v>#N/A</v>
      </c>
    </row>
    <row r="13" spans="1:3" x14ac:dyDescent="0.35">
      <c r="A13" t="s">
        <v>1752</v>
      </c>
      <c r="B13" t="e">
        <f>VLOOKUP(A13,PLCW!M:N,2,FALSE)</f>
        <v>#N/A</v>
      </c>
      <c r="C13" t="e">
        <f>VLOOKUP(A13,PLCW!O:P,2,FALSE)</f>
        <v>#N/A</v>
      </c>
    </row>
    <row r="14" spans="1:3" x14ac:dyDescent="0.35">
      <c r="A14" t="s">
        <v>1753</v>
      </c>
      <c r="B14" t="e">
        <f>VLOOKUP(A14,PLCW!M:N,2,FALSE)</f>
        <v>#N/A</v>
      </c>
      <c r="C14" t="e">
        <f>VLOOKUP(A14,PLCW!O:P,2,FALSE)</f>
        <v>#N/A</v>
      </c>
    </row>
    <row r="15" spans="1:3" x14ac:dyDescent="0.35">
      <c r="A15" t="s">
        <v>1754</v>
      </c>
      <c r="B15" t="e">
        <f>VLOOKUP(A15,PLCW!M:N,2,FALSE)</f>
        <v>#N/A</v>
      </c>
      <c r="C15" t="e">
        <f>VLOOKUP(A15,PLCW!O:P,2,FALSE)</f>
        <v>#N/A</v>
      </c>
    </row>
    <row r="16" spans="1:3" x14ac:dyDescent="0.35">
      <c r="A16" t="s">
        <v>1755</v>
      </c>
      <c r="B16" t="e">
        <f>VLOOKUP(A16,PLCW!M:N,2,FALSE)</f>
        <v>#N/A</v>
      </c>
      <c r="C16" t="e">
        <f>VLOOKUP(A16,PLCW!O:P,2,FALSE)</f>
        <v>#N/A</v>
      </c>
    </row>
    <row r="17" spans="1:3" x14ac:dyDescent="0.35">
      <c r="A17" t="s">
        <v>1756</v>
      </c>
      <c r="B17" t="e">
        <f>VLOOKUP(A17,PLCW!M:N,2,FALSE)</f>
        <v>#N/A</v>
      </c>
      <c r="C17" t="e">
        <f>VLOOKUP(A17,PLCW!O:P,2,FALSE)</f>
        <v>#N/A</v>
      </c>
    </row>
    <row r="18" spans="1:3" x14ac:dyDescent="0.35">
      <c r="A18" t="s">
        <v>1757</v>
      </c>
      <c r="B18" t="e">
        <f>VLOOKUP(A18,PLCW!M:N,2,FALSE)</f>
        <v>#N/A</v>
      </c>
      <c r="C18" t="e">
        <f>VLOOKUP(A18,PLCW!O:P,2,FALSE)</f>
        <v>#N/A</v>
      </c>
    </row>
    <row r="19" spans="1:3" x14ac:dyDescent="0.35">
      <c r="A19" t="s">
        <v>1758</v>
      </c>
      <c r="B19" t="e">
        <f>VLOOKUP(A19,PLCW!M:N,2,FALSE)</f>
        <v>#N/A</v>
      </c>
      <c r="C19" t="e">
        <f>VLOOKUP(A19,PLCW!O:P,2,FALSE)</f>
        <v>#N/A</v>
      </c>
    </row>
    <row r="20" spans="1:3" x14ac:dyDescent="0.35">
      <c r="A20" t="s">
        <v>1759</v>
      </c>
      <c r="B20" t="e">
        <f>VLOOKUP(A20,PLCW!M:N,2,FALSE)</f>
        <v>#N/A</v>
      </c>
      <c r="C20" t="e">
        <f>VLOOKUP(A20,PLCW!O:P,2,FALSE)</f>
        <v>#N/A</v>
      </c>
    </row>
    <row r="21" spans="1:3" x14ac:dyDescent="0.35">
      <c r="A21" t="s">
        <v>1760</v>
      </c>
      <c r="B21" t="e">
        <f>VLOOKUP(A21,PLCW!M:N,2,FALSE)</f>
        <v>#N/A</v>
      </c>
      <c r="C21" t="e">
        <f>VLOOKUP(A21,PLCW!O:P,2,FALSE)</f>
        <v>#N/A</v>
      </c>
    </row>
    <row r="22" spans="1:3" x14ac:dyDescent="0.35">
      <c r="A22" t="s">
        <v>1761</v>
      </c>
      <c r="B22" t="e">
        <f>VLOOKUP(A22,PLCW!M:N,2,FALSE)</f>
        <v>#N/A</v>
      </c>
      <c r="C22" t="e">
        <f>VLOOKUP(A22,PLCW!O:P,2,FALSE)</f>
        <v>#N/A</v>
      </c>
    </row>
    <row r="23" spans="1:3" x14ac:dyDescent="0.35">
      <c r="A23" t="s">
        <v>1762</v>
      </c>
      <c r="B23" t="e">
        <f>VLOOKUP(A23,PLCW!M:N,2,FALSE)</f>
        <v>#N/A</v>
      </c>
      <c r="C23" t="e">
        <f>VLOOKUP(A23,PLCW!O:P,2,FALSE)</f>
        <v>#N/A</v>
      </c>
    </row>
    <row r="24" spans="1:3" x14ac:dyDescent="0.35">
      <c r="A24" t="s">
        <v>1763</v>
      </c>
      <c r="B24" t="e">
        <f>VLOOKUP(A24,PLCW!M:N,2,FALSE)</f>
        <v>#N/A</v>
      </c>
      <c r="C24" t="e">
        <f>VLOOKUP(A24,PLCW!O:P,2,FALSE)</f>
        <v>#N/A</v>
      </c>
    </row>
    <row r="25" spans="1:3" x14ac:dyDescent="0.35">
      <c r="A25" t="s">
        <v>1764</v>
      </c>
      <c r="B25" t="e">
        <f>VLOOKUP(A25,PLCW!M:N,2,FALSE)</f>
        <v>#N/A</v>
      </c>
      <c r="C25" t="e">
        <f>VLOOKUP(A25,PLCW!O:P,2,FALSE)</f>
        <v>#N/A</v>
      </c>
    </row>
    <row r="26" spans="1:3" x14ac:dyDescent="0.35">
      <c r="A26" t="s">
        <v>1765</v>
      </c>
      <c r="B26" t="e">
        <f>VLOOKUP(A26,PLCW!M:N,2,FALSE)</f>
        <v>#N/A</v>
      </c>
      <c r="C26" t="e">
        <f>VLOOKUP(A26,PLCW!O:P,2,FALSE)</f>
        <v>#N/A</v>
      </c>
    </row>
    <row r="27" spans="1:3" x14ac:dyDescent="0.35">
      <c r="A27" t="s">
        <v>1766</v>
      </c>
      <c r="B27" t="e">
        <f>VLOOKUP(A27,PLCW!M:N,2,FALSE)</f>
        <v>#N/A</v>
      </c>
      <c r="C27" t="e">
        <f>VLOOKUP(A27,PLCW!O:P,2,FALSE)</f>
        <v>#N/A</v>
      </c>
    </row>
    <row r="28" spans="1:3" x14ac:dyDescent="0.35">
      <c r="A28" t="s">
        <v>1767</v>
      </c>
      <c r="B28" t="e">
        <f>VLOOKUP(A28,PLCW!M:N,2,FALSE)</f>
        <v>#N/A</v>
      </c>
      <c r="C28" t="e">
        <f>VLOOKUP(A28,PLCW!O:P,2,FALSE)</f>
        <v>#N/A</v>
      </c>
    </row>
    <row r="29" spans="1:3" x14ac:dyDescent="0.35">
      <c r="A29" t="s">
        <v>1768</v>
      </c>
      <c r="B29" t="e">
        <f>VLOOKUP(A29,PLCW!M:N,2,FALSE)</f>
        <v>#N/A</v>
      </c>
      <c r="C29" t="e">
        <f>VLOOKUP(A29,PLCW!O:P,2,FALSE)</f>
        <v>#N/A</v>
      </c>
    </row>
    <row r="30" spans="1:3" x14ac:dyDescent="0.35">
      <c r="A30" t="s">
        <v>1769</v>
      </c>
      <c r="B30" t="e">
        <f>VLOOKUP(A30,PLCW!M:N,2,FALSE)</f>
        <v>#N/A</v>
      </c>
      <c r="C30" t="e">
        <f>VLOOKUP(A30,PLCW!O:P,2,FALSE)</f>
        <v>#N/A</v>
      </c>
    </row>
    <row r="31" spans="1:3" x14ac:dyDescent="0.35">
      <c r="A31" t="s">
        <v>1770</v>
      </c>
      <c r="B31" t="e">
        <f>VLOOKUP(A31,PLCW!M:N,2,FALSE)</f>
        <v>#N/A</v>
      </c>
      <c r="C31" t="e">
        <f>VLOOKUP(A31,PLCW!O:P,2,FALSE)</f>
        <v>#N/A</v>
      </c>
    </row>
    <row r="32" spans="1:3" x14ac:dyDescent="0.35">
      <c r="A32" t="s">
        <v>1771</v>
      </c>
      <c r="B32" t="e">
        <f>VLOOKUP(A32,PLCW!M:N,2,FALSE)</f>
        <v>#N/A</v>
      </c>
      <c r="C32" t="e">
        <f>VLOOKUP(A32,PLCW!O:P,2,FALSE)</f>
        <v>#N/A</v>
      </c>
    </row>
    <row r="33" spans="1:3" x14ac:dyDescent="0.35">
      <c r="A33" t="s">
        <v>1772</v>
      </c>
      <c r="B33" t="e">
        <f>VLOOKUP(A33,PLCW!M:N,2,FALSE)</f>
        <v>#N/A</v>
      </c>
      <c r="C33" t="e">
        <f>VLOOKUP(A33,PLCW!O:P,2,FALSE)</f>
        <v>#N/A</v>
      </c>
    </row>
    <row r="34" spans="1:3" x14ac:dyDescent="0.35">
      <c r="A34" t="s">
        <v>1773</v>
      </c>
      <c r="B34" t="e">
        <f>VLOOKUP(A34,PLCW!M:N,2,FALSE)</f>
        <v>#N/A</v>
      </c>
      <c r="C34" t="e">
        <f>VLOOKUP(A34,PLCW!O:P,2,FALSE)</f>
        <v>#N/A</v>
      </c>
    </row>
    <row r="35" spans="1:3" x14ac:dyDescent="0.35">
      <c r="A35" t="s">
        <v>1422</v>
      </c>
      <c r="B35" t="str">
        <f>VLOOKUP(A35,PLCW!M:N,2,FALSE)</f>
        <v>Cooler</v>
      </c>
      <c r="C35" t="str">
        <f>VLOOKUP(A35,PLCW!O:P,2,FALSE)</f>
        <v>N-PLCW1-CL1-P-PV-CL_471FN1_PT1</v>
      </c>
    </row>
    <row r="36" spans="1:3" x14ac:dyDescent="0.35">
      <c r="A36" t="s">
        <v>1324</v>
      </c>
      <c r="B36" t="str">
        <f>VLOOKUP(A36,PLCW!M:N,2,FALSE)</f>
        <v>Cooler</v>
      </c>
      <c r="C36" t="str">
        <f>VLOOKUP(A36,PLCW!O:P,2,FALSE)</f>
        <v>N-PLCW1-CL1-J-PV-CL_471FN1JI_B</v>
      </c>
    </row>
    <row r="37" spans="1:3" x14ac:dyDescent="0.35">
      <c r="A37" t="s">
        <v>1584</v>
      </c>
      <c r="B37" t="str">
        <f>VLOOKUP(A37,PLCW!M:N,2,FALSE)</f>
        <v>Cooler</v>
      </c>
      <c r="C37" t="str">
        <f>VLOOKUP(A37,PLCW!O:P,2,FALSE)</f>
        <v>N-PLCW1-CL1-R-PV-CL_471FN1_SI</v>
      </c>
    </row>
    <row r="38" spans="1:3" x14ac:dyDescent="0.35">
      <c r="A38" t="s">
        <v>1237</v>
      </c>
      <c r="B38" t="str">
        <f>VLOOKUP(A38,PLCW!M:N,2,FALSE)</f>
        <v>Cooler</v>
      </c>
      <c r="C38" t="str">
        <f>VLOOKUP(A38,PLCW!O:P,2,FALSE)</f>
        <v>N-PLCW1-CL1-I-PV-CL_471FN1_II</v>
      </c>
    </row>
    <row r="39" spans="1:3" x14ac:dyDescent="0.35">
      <c r="A39" t="s">
        <v>1106</v>
      </c>
      <c r="B39" t="str">
        <f>VLOOKUP(A39,PLCW!M:N,2,FALSE)</f>
        <v>Cooler</v>
      </c>
      <c r="C39" t="str">
        <f>VLOOKUP(A39,PLCW!O:P,2,FALSE)</f>
        <v>N-PLCW1-CL1-F-FSP-CL_471FN1_SPSPA</v>
      </c>
    </row>
    <row r="40" spans="1:3" x14ac:dyDescent="0.35">
      <c r="A40" t="s">
        <v>1171</v>
      </c>
      <c r="B40" t="str">
        <f>VLOOKUP(A40,PLCW!M:N,2,FALSE)</f>
        <v>Cooler</v>
      </c>
      <c r="C40" t="str">
        <f>VLOOKUP(A40,PLCW!O:P,2,FALSE)</f>
        <v>N-PLCW1-CL1-F-PV-CL_471FN1_FT1</v>
      </c>
    </row>
    <row r="41" spans="1:3" x14ac:dyDescent="0.35">
      <c r="A41" t="s">
        <v>1509</v>
      </c>
      <c r="B41" t="str">
        <f>VLOOKUP(A41,PLCW!M:N,2,FALSE)</f>
        <v>Cooler</v>
      </c>
      <c r="C41" t="str">
        <f>VLOOKUP(A41,PLCW!O:P,2,FALSE)</f>
        <v>N-PLCW1-CL1-R-FSP-CL_471FN1_SPSPM</v>
      </c>
    </row>
    <row r="42" spans="1:3" x14ac:dyDescent="0.35">
      <c r="A42" t="s">
        <v>1428</v>
      </c>
      <c r="B42" t="str">
        <f>VLOOKUP(A42,PLCW!M:N,2,FALSE)</f>
        <v>Cooler</v>
      </c>
      <c r="C42" t="str">
        <f>VLOOKUP(A42,PLCW!O:P,2,FALSE)</f>
        <v>N-PLCW1-CL1-P-PV-CL_471FN2_PT1</v>
      </c>
    </row>
    <row r="43" spans="1:3" x14ac:dyDescent="0.35">
      <c r="A43" t="s">
        <v>1329</v>
      </c>
      <c r="B43" t="str">
        <f>VLOOKUP(A43,PLCW!M:N,2,FALSE)</f>
        <v>Cooler</v>
      </c>
      <c r="C43" t="str">
        <f>VLOOKUP(A43,PLCW!O:P,2,FALSE)</f>
        <v>N-PLCW1-CL1-J-PV-CL_471FN2JI_B</v>
      </c>
    </row>
    <row r="44" spans="1:3" x14ac:dyDescent="0.35">
      <c r="A44" t="s">
        <v>1589</v>
      </c>
      <c r="B44" t="str">
        <f>VLOOKUP(A44,PLCW!M:N,2,FALSE)</f>
        <v>Cooler</v>
      </c>
      <c r="C44" t="str">
        <f>VLOOKUP(A44,PLCW!O:P,2,FALSE)</f>
        <v>N-PLCW1-CL1-R-PV-CL_471FN2_SI</v>
      </c>
    </row>
    <row r="45" spans="1:3" x14ac:dyDescent="0.35">
      <c r="A45" t="s">
        <v>1242</v>
      </c>
      <c r="B45" t="str">
        <f>VLOOKUP(A45,PLCW!M:N,2,FALSE)</f>
        <v>Cooler</v>
      </c>
      <c r="C45" t="str">
        <f>VLOOKUP(A45,PLCW!O:P,2,FALSE)</f>
        <v>N-PLCW1-CL1-I-PV-CL_471FN2_II</v>
      </c>
    </row>
    <row r="46" spans="1:3" x14ac:dyDescent="0.35">
      <c r="A46" t="s">
        <v>1111</v>
      </c>
      <c r="B46" t="str">
        <f>VLOOKUP(A46,PLCW!M:N,2,FALSE)</f>
        <v>Cooler</v>
      </c>
      <c r="C46" t="str">
        <f>VLOOKUP(A46,PLCW!O:P,2,FALSE)</f>
        <v>N-PLCW1-CL1-F-FSP-CL_471FN2_SPSPA</v>
      </c>
    </row>
    <row r="47" spans="1:3" x14ac:dyDescent="0.35">
      <c r="A47" t="s">
        <v>1177</v>
      </c>
      <c r="B47" t="str">
        <f>VLOOKUP(A47,PLCW!M:N,2,FALSE)</f>
        <v>Cooler</v>
      </c>
      <c r="C47" t="str">
        <f>VLOOKUP(A47,PLCW!O:P,2,FALSE)</f>
        <v>N-PLCW1-CL1-F-PV-CL_471FN2_FT1</v>
      </c>
    </row>
    <row r="48" spans="1:3" x14ac:dyDescent="0.35">
      <c r="A48" t="s">
        <v>1514</v>
      </c>
      <c r="B48" t="str">
        <f>VLOOKUP(A48,PLCW!M:N,2,FALSE)</f>
        <v>Cooler</v>
      </c>
      <c r="C48" t="str">
        <f>VLOOKUP(A48,PLCW!O:P,2,FALSE)</f>
        <v>N-PLCW1-CL1-R-FSP-CL_471FN2_SPSPM</v>
      </c>
    </row>
    <row r="49" spans="1:3" x14ac:dyDescent="0.35">
      <c r="A49" t="s">
        <v>1433</v>
      </c>
      <c r="B49" t="str">
        <f>VLOOKUP(A49,PLCW!M:N,2,FALSE)</f>
        <v>Cooler</v>
      </c>
      <c r="C49" t="str">
        <f>VLOOKUP(A49,PLCW!O:P,2,FALSE)</f>
        <v>N-PLCW1-CL1-P-PV-CL_471FN3_PT1</v>
      </c>
    </row>
    <row r="50" spans="1:3" x14ac:dyDescent="0.35">
      <c r="A50" t="s">
        <v>1334</v>
      </c>
      <c r="B50" t="str">
        <f>VLOOKUP(A50,PLCW!M:N,2,FALSE)</f>
        <v>Cooler</v>
      </c>
      <c r="C50" t="str">
        <f>VLOOKUP(A50,PLCW!O:P,2,FALSE)</f>
        <v>N-PLCW1-CL1-J-PV-CL_471FN3JI_B</v>
      </c>
    </row>
    <row r="51" spans="1:3" x14ac:dyDescent="0.35">
      <c r="A51" t="s">
        <v>1594</v>
      </c>
      <c r="B51" t="str">
        <f>VLOOKUP(A51,PLCW!M:N,2,FALSE)</f>
        <v>Cooler</v>
      </c>
      <c r="C51" t="str">
        <f>VLOOKUP(A51,PLCW!O:P,2,FALSE)</f>
        <v>N-PLCW1-CL1-R-PV-CL_471FN3_SI</v>
      </c>
    </row>
    <row r="52" spans="1:3" x14ac:dyDescent="0.35">
      <c r="A52" t="s">
        <v>1247</v>
      </c>
      <c r="B52" t="str">
        <f>VLOOKUP(A52,PLCW!M:N,2,FALSE)</f>
        <v>Cooler</v>
      </c>
      <c r="C52" t="str">
        <f>VLOOKUP(A52,PLCW!O:P,2,FALSE)</f>
        <v>N-PLCW1-CL1-I-PV-CL_471FN3_II</v>
      </c>
    </row>
    <row r="53" spans="1:3" x14ac:dyDescent="0.35">
      <c r="A53" t="s">
        <v>1116</v>
      </c>
      <c r="B53" t="str">
        <f>VLOOKUP(A53,PLCW!M:N,2,FALSE)</f>
        <v>Cooler</v>
      </c>
      <c r="C53" t="str">
        <f>VLOOKUP(A53,PLCW!O:P,2,FALSE)</f>
        <v>N-PLCW1-CL1-F-FSP-CL_471FN3_SPSPA</v>
      </c>
    </row>
    <row r="54" spans="1:3" x14ac:dyDescent="0.35">
      <c r="A54" t="s">
        <v>1182</v>
      </c>
      <c r="B54" t="str">
        <f>VLOOKUP(A54,PLCW!M:N,2,FALSE)</f>
        <v>Cooler</v>
      </c>
      <c r="C54" t="str">
        <f>VLOOKUP(A54,PLCW!O:P,2,FALSE)</f>
        <v>N-PLCW1-CL1-F-PV-CL_471FN3_FT1</v>
      </c>
    </row>
    <row r="55" spans="1:3" x14ac:dyDescent="0.35">
      <c r="A55" t="s">
        <v>1519</v>
      </c>
      <c r="B55" t="str">
        <f>VLOOKUP(A55,PLCW!M:N,2,FALSE)</f>
        <v>Cooler</v>
      </c>
      <c r="C55" t="str">
        <f>VLOOKUP(A55,PLCW!O:P,2,FALSE)</f>
        <v>N-PLCW1-CL1-R-FSP-CL_471FN3_SPSPM</v>
      </c>
    </row>
    <row r="56" spans="1:3" x14ac:dyDescent="0.35">
      <c r="A56" t="s">
        <v>1438</v>
      </c>
      <c r="B56" t="str">
        <f>VLOOKUP(A56,PLCW!M:N,2,FALSE)</f>
        <v>Cooler</v>
      </c>
      <c r="C56" t="str">
        <f>VLOOKUP(A56,PLCW!O:P,2,FALSE)</f>
        <v>N-PLCW1-CL1-P-PV-CL_471FN4_PT1</v>
      </c>
    </row>
    <row r="57" spans="1:3" x14ac:dyDescent="0.35">
      <c r="A57" t="s">
        <v>1339</v>
      </c>
      <c r="B57" t="str">
        <f>VLOOKUP(A57,PLCW!M:N,2,FALSE)</f>
        <v>Cooler</v>
      </c>
      <c r="C57" t="str">
        <f>VLOOKUP(A57,PLCW!O:P,2,FALSE)</f>
        <v>N-PLCW1-CL1-J-PV-CL_471FN4JI_B</v>
      </c>
    </row>
    <row r="58" spans="1:3" x14ac:dyDescent="0.35">
      <c r="A58" t="s">
        <v>1599</v>
      </c>
      <c r="B58" t="str">
        <f>VLOOKUP(A58,PLCW!M:N,2,FALSE)</f>
        <v>Cooler</v>
      </c>
      <c r="C58" t="str">
        <f>VLOOKUP(A58,PLCW!O:P,2,FALSE)</f>
        <v>N-PLCW1-CL1-R-PV-CL_471FN4_SI</v>
      </c>
    </row>
    <row r="59" spans="1:3" x14ac:dyDescent="0.35">
      <c r="A59" t="s">
        <v>1252</v>
      </c>
      <c r="B59" t="str">
        <f>VLOOKUP(A59,PLCW!M:N,2,FALSE)</f>
        <v>Cooler</v>
      </c>
      <c r="C59" t="str">
        <f>VLOOKUP(A59,PLCW!O:P,2,FALSE)</f>
        <v>N-PLCW1-CL1-I-PV-CL_471FN4_II</v>
      </c>
    </row>
    <row r="60" spans="1:3" x14ac:dyDescent="0.35">
      <c r="A60" t="s">
        <v>1121</v>
      </c>
      <c r="B60" t="str">
        <f>VLOOKUP(A60,PLCW!M:N,2,FALSE)</f>
        <v>Cooler</v>
      </c>
      <c r="C60" t="str">
        <f>VLOOKUP(A60,PLCW!O:P,2,FALSE)</f>
        <v>N-PLCW1-CL1-F-FSP-CL_471FN4_SPSPA</v>
      </c>
    </row>
    <row r="61" spans="1:3" x14ac:dyDescent="0.35">
      <c r="A61" t="s">
        <v>1187</v>
      </c>
      <c r="B61" t="str">
        <f>VLOOKUP(A61,PLCW!M:N,2,FALSE)</f>
        <v>Cooler</v>
      </c>
      <c r="C61" t="str">
        <f>VLOOKUP(A61,PLCW!O:P,2,FALSE)</f>
        <v>N-PLCW1-CL1-F-PV-CL_471FN4_FT1</v>
      </c>
    </row>
    <row r="62" spans="1:3" x14ac:dyDescent="0.35">
      <c r="A62" t="s">
        <v>1524</v>
      </c>
      <c r="B62" t="str">
        <f>VLOOKUP(A62,PLCW!M:N,2,FALSE)</f>
        <v>Cooler</v>
      </c>
      <c r="C62" t="str">
        <f>VLOOKUP(A62,PLCW!O:P,2,FALSE)</f>
        <v>N-PLCW1-CL1-R-FSP-CL_471FN4_SPSPM</v>
      </c>
    </row>
    <row r="63" spans="1:3" x14ac:dyDescent="0.35">
      <c r="A63" t="s">
        <v>1443</v>
      </c>
      <c r="B63" t="str">
        <f>VLOOKUP(A63,PLCW!M:N,2,FALSE)</f>
        <v>Cooler</v>
      </c>
      <c r="C63" t="str">
        <f>VLOOKUP(A63,PLCW!O:P,2,FALSE)</f>
        <v>N-PLCW1-CL1-P-PV-CL_471FN5_PT1</v>
      </c>
    </row>
    <row r="64" spans="1:3" x14ac:dyDescent="0.35">
      <c r="A64" t="s">
        <v>1344</v>
      </c>
      <c r="B64" t="str">
        <f>VLOOKUP(A64,PLCW!M:N,2,FALSE)</f>
        <v>Cooler</v>
      </c>
      <c r="C64" t="str">
        <f>VLOOKUP(A64,PLCW!O:P,2,FALSE)</f>
        <v>N-PLCW1-CL1-J-PV-CL_471FN5JI_B</v>
      </c>
    </row>
    <row r="65" spans="1:3" x14ac:dyDescent="0.35">
      <c r="A65" t="s">
        <v>1604</v>
      </c>
      <c r="B65" t="str">
        <f>VLOOKUP(A65,PLCW!M:N,2,FALSE)</f>
        <v>Cooler</v>
      </c>
      <c r="C65" t="str">
        <f>VLOOKUP(A65,PLCW!O:P,2,FALSE)</f>
        <v>N-PLCW1-CL1-R-PV-CL_471FN5_SI</v>
      </c>
    </row>
    <row r="66" spans="1:3" x14ac:dyDescent="0.35">
      <c r="A66" t="s">
        <v>1257</v>
      </c>
      <c r="B66" t="str">
        <f>VLOOKUP(A66,PLCW!M:N,2,FALSE)</f>
        <v>Cooler</v>
      </c>
      <c r="C66" t="str">
        <f>VLOOKUP(A66,PLCW!O:P,2,FALSE)</f>
        <v>N-PLCW1-CL1-I-PV-CL_471FN5_II</v>
      </c>
    </row>
    <row r="67" spans="1:3" x14ac:dyDescent="0.35">
      <c r="A67" t="s">
        <v>1126</v>
      </c>
      <c r="B67" t="str">
        <f>VLOOKUP(A67,PLCW!M:N,2,FALSE)</f>
        <v>Cooler</v>
      </c>
      <c r="C67" t="str">
        <f>VLOOKUP(A67,PLCW!O:P,2,FALSE)</f>
        <v>N-PLCW1-CL1-F-FSP-CL_471FN5_SPSPA</v>
      </c>
    </row>
    <row r="68" spans="1:3" x14ac:dyDescent="0.35">
      <c r="A68" t="s">
        <v>1192</v>
      </c>
      <c r="B68" t="str">
        <f>VLOOKUP(A68,PLCW!M:N,2,FALSE)</f>
        <v>Cooler</v>
      </c>
      <c r="C68" t="str">
        <f>VLOOKUP(A68,PLCW!O:P,2,FALSE)</f>
        <v>N-PLCW1-CL1-F-PV-CL_471FN5_FT1</v>
      </c>
    </row>
    <row r="69" spans="1:3" x14ac:dyDescent="0.35">
      <c r="A69" t="s">
        <v>1529</v>
      </c>
      <c r="B69" t="str">
        <f>VLOOKUP(A69,PLCW!M:N,2,FALSE)</f>
        <v>Cooler</v>
      </c>
      <c r="C69" t="str">
        <f>VLOOKUP(A69,PLCW!O:P,2,FALSE)</f>
        <v>N-PLCW1-CL1-R-FSP-CL_471FN5_SPSPM</v>
      </c>
    </row>
    <row r="70" spans="1:3" x14ac:dyDescent="0.35">
      <c r="A70" t="s">
        <v>1448</v>
      </c>
      <c r="B70" t="str">
        <f>VLOOKUP(A70,PLCW!M:N,2,FALSE)</f>
        <v>Cooler</v>
      </c>
      <c r="C70" t="str">
        <f>VLOOKUP(A70,PLCW!O:P,2,FALSE)</f>
        <v>N-PLCW1-CL1-P-PV-CL_471FN6_PT1</v>
      </c>
    </row>
    <row r="71" spans="1:3" x14ac:dyDescent="0.35">
      <c r="A71" t="s">
        <v>1349</v>
      </c>
      <c r="B71" t="str">
        <f>VLOOKUP(A71,PLCW!M:N,2,FALSE)</f>
        <v>Cooler</v>
      </c>
      <c r="C71" t="str">
        <f>VLOOKUP(A71,PLCW!O:P,2,FALSE)</f>
        <v>N-PLCW1-CL1-J-PV-CL_471FN6JI_B</v>
      </c>
    </row>
    <row r="72" spans="1:3" x14ac:dyDescent="0.35">
      <c r="A72" t="s">
        <v>1609</v>
      </c>
      <c r="B72" t="str">
        <f>VLOOKUP(A72,PLCW!M:N,2,FALSE)</f>
        <v>Cooler</v>
      </c>
      <c r="C72" t="str">
        <f>VLOOKUP(A72,PLCW!O:P,2,FALSE)</f>
        <v>N-PLCW1-CL1-R-PV-CL_471FN6_SI</v>
      </c>
    </row>
    <row r="73" spans="1:3" x14ac:dyDescent="0.35">
      <c r="A73" t="s">
        <v>1262</v>
      </c>
      <c r="B73" t="str">
        <f>VLOOKUP(A73,PLCW!M:N,2,FALSE)</f>
        <v>Cooler</v>
      </c>
      <c r="C73" t="str">
        <f>VLOOKUP(A73,PLCW!O:P,2,FALSE)</f>
        <v>N-PLCW1-CL1-I-PV-CL_471FN6_II</v>
      </c>
    </row>
    <row r="74" spans="1:3" x14ac:dyDescent="0.35">
      <c r="A74" t="s">
        <v>1131</v>
      </c>
      <c r="B74" t="str">
        <f>VLOOKUP(A74,PLCW!M:N,2,FALSE)</f>
        <v>Cooler</v>
      </c>
      <c r="C74" t="str">
        <f>VLOOKUP(A74,PLCW!O:P,2,FALSE)</f>
        <v>N-PLCW1-CL1-F-FSP-CL_471FN6_SPSPA</v>
      </c>
    </row>
    <row r="75" spans="1:3" x14ac:dyDescent="0.35">
      <c r="A75" t="s">
        <v>1197</v>
      </c>
      <c r="B75" t="str">
        <f>VLOOKUP(A75,PLCW!M:N,2,FALSE)</f>
        <v>Cooler</v>
      </c>
      <c r="C75" t="str">
        <f>VLOOKUP(A75,PLCW!O:P,2,FALSE)</f>
        <v>N-PLCW1-CL1-F-PV-CL_471FN6_FT1</v>
      </c>
    </row>
    <row r="76" spans="1:3" x14ac:dyDescent="0.35">
      <c r="A76" t="s">
        <v>1534</v>
      </c>
      <c r="B76" t="str">
        <f>VLOOKUP(A76,PLCW!M:N,2,FALSE)</f>
        <v>Cooler</v>
      </c>
      <c r="C76" t="str">
        <f>VLOOKUP(A76,PLCW!O:P,2,FALSE)</f>
        <v>N-PLCW1-CL1-R-FSP-CL_471FN6_SPSPM</v>
      </c>
    </row>
    <row r="77" spans="1:3" x14ac:dyDescent="0.35">
      <c r="A77" t="s">
        <v>1453</v>
      </c>
      <c r="B77" t="str">
        <f>VLOOKUP(A77,PLCW!M:N,2,FALSE)</f>
        <v>Cooler</v>
      </c>
      <c r="C77" t="str">
        <f>VLOOKUP(A77,PLCW!O:P,2,FALSE)</f>
        <v>N-PLCW1-CL1-P-PV-CL_471FN7_PT1</v>
      </c>
    </row>
    <row r="78" spans="1:3" x14ac:dyDescent="0.35">
      <c r="A78" t="s">
        <v>1354</v>
      </c>
      <c r="B78" t="str">
        <f>VLOOKUP(A78,PLCW!M:N,2,FALSE)</f>
        <v>Cooler</v>
      </c>
      <c r="C78" t="str">
        <f>VLOOKUP(A78,PLCW!O:P,2,FALSE)</f>
        <v>N-PLCW1-CL1-J-PV-CL_471FN7JI_B</v>
      </c>
    </row>
    <row r="79" spans="1:3" x14ac:dyDescent="0.35">
      <c r="A79" t="s">
        <v>1614</v>
      </c>
      <c r="B79" t="str">
        <f>VLOOKUP(A79,PLCW!M:N,2,FALSE)</f>
        <v>Cooler</v>
      </c>
      <c r="C79" t="str">
        <f>VLOOKUP(A79,PLCW!O:P,2,FALSE)</f>
        <v>N-PLCW1-CL1-R-PV-CL_471FN7_SI</v>
      </c>
    </row>
    <row r="80" spans="1:3" x14ac:dyDescent="0.35">
      <c r="A80" t="s">
        <v>1267</v>
      </c>
      <c r="B80" t="str">
        <f>VLOOKUP(A80,PLCW!M:N,2,FALSE)</f>
        <v>Cooler</v>
      </c>
      <c r="C80" t="str">
        <f>VLOOKUP(A80,PLCW!O:P,2,FALSE)</f>
        <v>N-PLCW1-CL1-I-PV-CL_471FN7_II</v>
      </c>
    </row>
    <row r="81" spans="1:3" x14ac:dyDescent="0.35">
      <c r="A81" t="s">
        <v>1136</v>
      </c>
      <c r="B81" t="str">
        <f>VLOOKUP(A81,PLCW!M:N,2,FALSE)</f>
        <v>Cooler</v>
      </c>
      <c r="C81" t="str">
        <f>VLOOKUP(A81,PLCW!O:P,2,FALSE)</f>
        <v>N-PLCW1-CL1-F-FSP-CL_471FN7_SPSPA</v>
      </c>
    </row>
    <row r="82" spans="1:3" x14ac:dyDescent="0.35">
      <c r="A82" t="s">
        <v>1202</v>
      </c>
      <c r="B82" t="str">
        <f>VLOOKUP(A82,PLCW!M:N,2,FALSE)</f>
        <v>Cooler</v>
      </c>
      <c r="C82" t="str">
        <f>VLOOKUP(A82,PLCW!O:P,2,FALSE)</f>
        <v>N-PLCW1-CL1-F-PV-CL_471FN7_FT1</v>
      </c>
    </row>
    <row r="83" spans="1:3" x14ac:dyDescent="0.35">
      <c r="A83" t="s">
        <v>1539</v>
      </c>
      <c r="B83" t="str">
        <f>VLOOKUP(A83,PLCW!M:N,2,FALSE)</f>
        <v>Cooler</v>
      </c>
      <c r="C83" t="str">
        <f>VLOOKUP(A83,PLCW!O:P,2,FALSE)</f>
        <v>N-PLCW1-CL1-R-FSP-CL_471FN7_SPSPM</v>
      </c>
    </row>
    <row r="84" spans="1:3" x14ac:dyDescent="0.35">
      <c r="A84" t="s">
        <v>1458</v>
      </c>
      <c r="B84" t="str">
        <f>VLOOKUP(A84,PLCW!M:N,2,FALSE)</f>
        <v>Cooler</v>
      </c>
      <c r="C84" t="str">
        <f>VLOOKUP(A84,PLCW!O:P,2,FALSE)</f>
        <v>N-PLCW1-CL1-P-PV-CL_471FN8_PT1</v>
      </c>
    </row>
    <row r="85" spans="1:3" x14ac:dyDescent="0.35">
      <c r="A85" t="s">
        <v>1359</v>
      </c>
      <c r="B85" t="str">
        <f>VLOOKUP(A85,PLCW!M:N,2,FALSE)</f>
        <v>Cooler</v>
      </c>
      <c r="C85" t="str">
        <f>VLOOKUP(A85,PLCW!O:P,2,FALSE)</f>
        <v>N-PLCW1-CL1-J-PV-CL_471FN8JI_B</v>
      </c>
    </row>
    <row r="86" spans="1:3" x14ac:dyDescent="0.35">
      <c r="A86" t="s">
        <v>1619</v>
      </c>
      <c r="B86" t="str">
        <f>VLOOKUP(A86,PLCW!M:N,2,FALSE)</f>
        <v>Cooler</v>
      </c>
      <c r="C86" t="str">
        <f>VLOOKUP(A86,PLCW!O:P,2,FALSE)</f>
        <v>N-PLCW1-CL1-R-PV-CL_471FN8_SI</v>
      </c>
    </row>
    <row r="87" spans="1:3" x14ac:dyDescent="0.35">
      <c r="A87" t="s">
        <v>1272</v>
      </c>
      <c r="B87" t="str">
        <f>VLOOKUP(A87,PLCW!M:N,2,FALSE)</f>
        <v>Cooler</v>
      </c>
      <c r="C87" t="str">
        <f>VLOOKUP(A87,PLCW!O:P,2,FALSE)</f>
        <v>N-PLCW1-CL1-I-PV-CL_471FN8_II</v>
      </c>
    </row>
    <row r="88" spans="1:3" x14ac:dyDescent="0.35">
      <c r="A88" t="s">
        <v>1141</v>
      </c>
      <c r="B88" t="str">
        <f>VLOOKUP(A88,PLCW!M:N,2,FALSE)</f>
        <v>Cooler</v>
      </c>
      <c r="C88" t="str">
        <f>VLOOKUP(A88,PLCW!O:P,2,FALSE)</f>
        <v>N-PLCW1-CL1-F-FSP-CL_471FN8_SPSPA</v>
      </c>
    </row>
    <row r="89" spans="1:3" x14ac:dyDescent="0.35">
      <c r="A89" t="s">
        <v>1207</v>
      </c>
      <c r="B89" t="str">
        <f>VLOOKUP(A89,PLCW!M:N,2,FALSE)</f>
        <v>Cooler</v>
      </c>
      <c r="C89" t="str">
        <f>VLOOKUP(A89,PLCW!O:P,2,FALSE)</f>
        <v>N-PLCW1-CL1-F-PV-CL_471FN8_FT1</v>
      </c>
    </row>
    <row r="90" spans="1:3" x14ac:dyDescent="0.35">
      <c r="A90" t="s">
        <v>1544</v>
      </c>
      <c r="B90" t="str">
        <f>VLOOKUP(A90,PLCW!M:N,2,FALSE)</f>
        <v>Cooler</v>
      </c>
      <c r="C90" t="str">
        <f>VLOOKUP(A90,PLCW!O:P,2,FALSE)</f>
        <v>N-PLCW1-CL1-R-FSP-CL_471FN8_SPSPM</v>
      </c>
    </row>
    <row r="91" spans="1:3" x14ac:dyDescent="0.35">
      <c r="A91" t="s">
        <v>1463</v>
      </c>
      <c r="B91" t="str">
        <f>VLOOKUP(A91,PLCW!M:N,2,FALSE)</f>
        <v>Cooler</v>
      </c>
      <c r="C91" t="str">
        <f>VLOOKUP(A91,PLCW!O:P,2,FALSE)</f>
        <v>N-PLCW1-CL1-P-PV-CL_471FN9_PT1</v>
      </c>
    </row>
    <row r="92" spans="1:3" x14ac:dyDescent="0.35">
      <c r="A92" t="s">
        <v>1364</v>
      </c>
      <c r="B92" t="str">
        <f>VLOOKUP(A92,PLCW!M:N,2,FALSE)</f>
        <v>Cooler</v>
      </c>
      <c r="C92" t="str">
        <f>VLOOKUP(A92,PLCW!O:P,2,FALSE)</f>
        <v>N-PLCW1-CL1-J-PV-CL_471FN9JI_B</v>
      </c>
    </row>
    <row r="93" spans="1:3" x14ac:dyDescent="0.35">
      <c r="A93" t="s">
        <v>1624</v>
      </c>
      <c r="B93" t="str">
        <f>VLOOKUP(A93,PLCW!M:N,2,FALSE)</f>
        <v>Cooler</v>
      </c>
      <c r="C93" t="str">
        <f>VLOOKUP(A93,PLCW!O:P,2,FALSE)</f>
        <v>N-PLCW1-CL1-R-PV-CL_471FN9_SI</v>
      </c>
    </row>
    <row r="94" spans="1:3" x14ac:dyDescent="0.35">
      <c r="A94" t="s">
        <v>1277</v>
      </c>
      <c r="B94" t="str">
        <f>VLOOKUP(A94,PLCW!M:N,2,FALSE)</f>
        <v>Cooler</v>
      </c>
      <c r="C94" t="str">
        <f>VLOOKUP(A94,PLCW!O:P,2,FALSE)</f>
        <v>N-PLCW1-CL1-I-PV-CL_471FN9_II</v>
      </c>
    </row>
    <row r="95" spans="1:3" x14ac:dyDescent="0.35">
      <c r="A95" t="s">
        <v>1146</v>
      </c>
      <c r="B95" t="str">
        <f>VLOOKUP(A95,PLCW!M:N,2,FALSE)</f>
        <v>Cooler</v>
      </c>
      <c r="C95" t="str">
        <f>VLOOKUP(A95,PLCW!O:P,2,FALSE)</f>
        <v>N-PLCW1-CL1-F-FSP-CL_471FN9_SPSPA</v>
      </c>
    </row>
    <row r="96" spans="1:3" x14ac:dyDescent="0.35">
      <c r="A96" t="s">
        <v>1212</v>
      </c>
      <c r="B96" t="str">
        <f>VLOOKUP(A96,PLCW!M:N,2,FALSE)</f>
        <v>Cooler</v>
      </c>
      <c r="C96" t="str">
        <f>VLOOKUP(A96,PLCW!O:P,2,FALSE)</f>
        <v>N-PLCW1-CL1-F-PV-CL_471FN9_FT1</v>
      </c>
    </row>
    <row r="97" spans="1:3" x14ac:dyDescent="0.35">
      <c r="A97" t="s">
        <v>1549</v>
      </c>
      <c r="B97" t="str">
        <f>VLOOKUP(A97,PLCW!M:N,2,FALSE)</f>
        <v>Cooler</v>
      </c>
      <c r="C97" t="str">
        <f>VLOOKUP(A97,PLCW!O:P,2,FALSE)</f>
        <v>N-PLCW1-CL1-R-FSP-CL_471FN9_SPSPM</v>
      </c>
    </row>
    <row r="98" spans="1:3" x14ac:dyDescent="0.35">
      <c r="A98" t="s">
        <v>1468</v>
      </c>
      <c r="B98" t="str">
        <f>VLOOKUP(A98,PLCW!M:N,2,FALSE)</f>
        <v>Cooler</v>
      </c>
      <c r="C98" t="str">
        <f>VLOOKUP(A98,PLCW!O:P,2,FALSE)</f>
        <v>N-PLCW1-CL1-P-PV-CL_471FNA_PT1</v>
      </c>
    </row>
    <row r="99" spans="1:3" x14ac:dyDescent="0.35">
      <c r="A99" t="s">
        <v>1369</v>
      </c>
      <c r="B99" t="str">
        <f>VLOOKUP(A99,PLCW!M:N,2,FALSE)</f>
        <v>Cooler</v>
      </c>
      <c r="C99" t="str">
        <f>VLOOKUP(A99,PLCW!O:P,2,FALSE)</f>
        <v>N-PLCW1-CL1-J-PV-CL_471FNAJI_B</v>
      </c>
    </row>
    <row r="100" spans="1:3" x14ac:dyDescent="0.35">
      <c r="A100" t="s">
        <v>1629</v>
      </c>
      <c r="B100" t="str">
        <f>VLOOKUP(A100,PLCW!M:N,2,FALSE)</f>
        <v>Cooler</v>
      </c>
      <c r="C100" t="str">
        <f>VLOOKUP(A100,PLCW!O:P,2,FALSE)</f>
        <v>N-PLCW1-CL1-R-PV-CL_471FNA_SI</v>
      </c>
    </row>
    <row r="101" spans="1:3" x14ac:dyDescent="0.35">
      <c r="A101" t="s">
        <v>1282</v>
      </c>
      <c r="B101" t="str">
        <f>VLOOKUP(A101,PLCW!M:N,2,FALSE)</f>
        <v>Cooler</v>
      </c>
      <c r="C101" t="str">
        <f>VLOOKUP(A101,PLCW!O:P,2,FALSE)</f>
        <v>N-PLCW1-CL1-I-PV-CL_471FNA_II</v>
      </c>
    </row>
    <row r="102" spans="1:3" x14ac:dyDescent="0.35">
      <c r="A102" t="s">
        <v>1151</v>
      </c>
      <c r="B102" t="str">
        <f>VLOOKUP(A102,PLCW!M:N,2,FALSE)</f>
        <v>Cooler</v>
      </c>
      <c r="C102" t="str">
        <f>VLOOKUP(A102,PLCW!O:P,2,FALSE)</f>
        <v>N-PLCW1-CL1-F-FSP-CL_471FNA_SPSPA</v>
      </c>
    </row>
    <row r="103" spans="1:3" x14ac:dyDescent="0.35">
      <c r="A103" t="s">
        <v>1217</v>
      </c>
      <c r="B103" t="str">
        <f>VLOOKUP(A103,PLCW!M:N,2,FALSE)</f>
        <v>Cooler</v>
      </c>
      <c r="C103" t="str">
        <f>VLOOKUP(A103,PLCW!O:P,2,FALSE)</f>
        <v>N-PLCW1-CL1-F-PV-CL_471FNA_FT1</v>
      </c>
    </row>
    <row r="104" spans="1:3" x14ac:dyDescent="0.35">
      <c r="A104" t="s">
        <v>1554</v>
      </c>
      <c r="B104" t="str">
        <f>VLOOKUP(A104,PLCW!M:N,2,FALSE)</f>
        <v>Cooler</v>
      </c>
      <c r="C104" t="str">
        <f>VLOOKUP(A104,PLCW!O:P,2,FALSE)</f>
        <v>N-PLCW1-CL1-R-FSP-CL_471FNA_SPSPM</v>
      </c>
    </row>
    <row r="105" spans="1:3" x14ac:dyDescent="0.35">
      <c r="A105" t="s">
        <v>1473</v>
      </c>
      <c r="B105" t="str">
        <f>VLOOKUP(A105,PLCW!M:N,2,FALSE)</f>
        <v>Cooler</v>
      </c>
      <c r="C105" t="str">
        <f>VLOOKUP(A105,PLCW!O:P,2,FALSE)</f>
        <v>N-PLCW1-CL1-P-PV-CL_471FNB_PT1</v>
      </c>
    </row>
    <row r="106" spans="1:3" x14ac:dyDescent="0.35">
      <c r="A106" t="s">
        <v>1374</v>
      </c>
      <c r="B106" t="str">
        <f>VLOOKUP(A106,PLCW!M:N,2,FALSE)</f>
        <v>Cooler</v>
      </c>
      <c r="C106" t="str">
        <f>VLOOKUP(A106,PLCW!O:P,2,FALSE)</f>
        <v>N-PLCW1-CL1-J-PV-CL_471FNBJI_B</v>
      </c>
    </row>
    <row r="107" spans="1:3" x14ac:dyDescent="0.35">
      <c r="A107" t="s">
        <v>1634</v>
      </c>
      <c r="B107" t="str">
        <f>VLOOKUP(A107,PLCW!M:N,2,FALSE)</f>
        <v>Cooler</v>
      </c>
      <c r="C107" t="str">
        <f>VLOOKUP(A107,PLCW!O:P,2,FALSE)</f>
        <v>N-PLCW1-CL1-R-PV-CL_471FNB_SI</v>
      </c>
    </row>
    <row r="108" spans="1:3" x14ac:dyDescent="0.35">
      <c r="A108" t="s">
        <v>1287</v>
      </c>
      <c r="B108" t="str">
        <f>VLOOKUP(A108,PLCW!M:N,2,FALSE)</f>
        <v>Cooler</v>
      </c>
      <c r="C108" t="str">
        <f>VLOOKUP(A108,PLCW!O:P,2,FALSE)</f>
        <v>N-PLCW1-CL1-I-PV-CL_471FNB_II</v>
      </c>
    </row>
    <row r="109" spans="1:3" x14ac:dyDescent="0.35">
      <c r="A109" t="s">
        <v>1156</v>
      </c>
      <c r="B109" t="str">
        <f>VLOOKUP(A109,PLCW!M:N,2,FALSE)</f>
        <v>Cooler</v>
      </c>
      <c r="C109" t="str">
        <f>VLOOKUP(A109,PLCW!O:P,2,FALSE)</f>
        <v>N-PLCW1-CL1-F-FSP-CL_471FNB_SPSPA</v>
      </c>
    </row>
    <row r="110" spans="1:3" x14ac:dyDescent="0.35">
      <c r="A110" t="s">
        <v>1222</v>
      </c>
      <c r="B110" t="str">
        <f>VLOOKUP(A110,PLCW!M:N,2,FALSE)</f>
        <v>Cooler</v>
      </c>
      <c r="C110" t="str">
        <f>VLOOKUP(A110,PLCW!O:P,2,FALSE)</f>
        <v>N-PLCW1-CL1-F-PV-CL_471FNB_FT1</v>
      </c>
    </row>
    <row r="111" spans="1:3" x14ac:dyDescent="0.35">
      <c r="A111" t="s">
        <v>1559</v>
      </c>
      <c r="B111" t="str">
        <f>VLOOKUP(A111,PLCW!M:N,2,FALSE)</f>
        <v>Cooler</v>
      </c>
      <c r="C111" t="str">
        <f>VLOOKUP(A111,PLCW!O:P,2,FALSE)</f>
        <v>N-PLCW1-CL1-R-FSP-CL_471FNB_SPSPM</v>
      </c>
    </row>
    <row r="112" spans="1:3" x14ac:dyDescent="0.35">
      <c r="A112" t="s">
        <v>1478</v>
      </c>
      <c r="B112" t="str">
        <f>VLOOKUP(A112,PLCW!M:N,2,FALSE)</f>
        <v>Cooler</v>
      </c>
      <c r="C112" t="str">
        <f>VLOOKUP(A112,PLCW!O:P,2,FALSE)</f>
        <v>N-PLCW1-CL1-P-PV-CL_471FNC_PT1</v>
      </c>
    </row>
    <row r="113" spans="1:3" x14ac:dyDescent="0.35">
      <c r="A113" t="s">
        <v>1379</v>
      </c>
      <c r="B113" t="str">
        <f>VLOOKUP(A113,PLCW!M:N,2,FALSE)</f>
        <v>Cooler</v>
      </c>
      <c r="C113" t="str">
        <f>VLOOKUP(A113,PLCW!O:P,2,FALSE)</f>
        <v>N-PLCW1-CL1-J-PV-CL_471FNCJI_B</v>
      </c>
    </row>
    <row r="114" spans="1:3" x14ac:dyDescent="0.35">
      <c r="A114" t="s">
        <v>1639</v>
      </c>
      <c r="B114" t="str">
        <f>VLOOKUP(A114,PLCW!M:N,2,FALSE)</f>
        <v>Cooler</v>
      </c>
      <c r="C114" t="str">
        <f>VLOOKUP(A114,PLCW!O:P,2,FALSE)</f>
        <v>N-PLCW1-CL1-R-PV-CL_471FNC_SI</v>
      </c>
    </row>
    <row r="115" spans="1:3" x14ac:dyDescent="0.35">
      <c r="A115" t="s">
        <v>1292</v>
      </c>
      <c r="B115" t="str">
        <f>VLOOKUP(A115,PLCW!M:N,2,FALSE)</f>
        <v>Cooler</v>
      </c>
      <c r="C115" t="str">
        <f>VLOOKUP(A115,PLCW!O:P,2,FALSE)</f>
        <v>N-PLCW1-CL1-I-PV-CL_471FNC_II</v>
      </c>
    </row>
    <row r="116" spans="1:3" x14ac:dyDescent="0.35">
      <c r="A116" t="s">
        <v>1161</v>
      </c>
      <c r="B116" t="str">
        <f>VLOOKUP(A116,PLCW!M:N,2,FALSE)</f>
        <v>Cooler</v>
      </c>
      <c r="C116" t="str">
        <f>VLOOKUP(A116,PLCW!O:P,2,FALSE)</f>
        <v>N-PLCW1-CL1-F-FSP-CL_471FNC_SPSPA</v>
      </c>
    </row>
    <row r="117" spans="1:3" x14ac:dyDescent="0.35">
      <c r="A117" t="s">
        <v>1227</v>
      </c>
      <c r="B117" t="str">
        <f>VLOOKUP(A117,PLCW!M:N,2,FALSE)</f>
        <v>Cooler</v>
      </c>
      <c r="C117" t="str">
        <f>VLOOKUP(A117,PLCW!O:P,2,FALSE)</f>
        <v>N-PLCW1-CL1-F-PV-CL_471FNC_FT1</v>
      </c>
    </row>
    <row r="118" spans="1:3" x14ac:dyDescent="0.35">
      <c r="A118" t="s">
        <v>1564</v>
      </c>
      <c r="B118" t="str">
        <f>VLOOKUP(A118,PLCW!M:N,2,FALSE)</f>
        <v>Cooler</v>
      </c>
      <c r="C118" t="str">
        <f>VLOOKUP(A118,PLCW!O:P,2,FALSE)</f>
        <v>N-PLCW1-CL1-R-FSP-CL_471FNC_SPSPM</v>
      </c>
    </row>
    <row r="119" spans="1:3" x14ac:dyDescent="0.35">
      <c r="A119" t="s">
        <v>1483</v>
      </c>
      <c r="B119" t="str">
        <f>VLOOKUP(A119,PLCW!M:N,2,FALSE)</f>
        <v>Cooler</v>
      </c>
      <c r="C119" t="str">
        <f>VLOOKUP(A119,PLCW!O:P,2,FALSE)</f>
        <v>N-PLCW1-CL1-P-PV-CL_471FND_PT1</v>
      </c>
    </row>
    <row r="120" spans="1:3" x14ac:dyDescent="0.35">
      <c r="A120" t="s">
        <v>1384</v>
      </c>
      <c r="B120" t="str">
        <f>VLOOKUP(A120,PLCW!M:N,2,FALSE)</f>
        <v>Cooler</v>
      </c>
      <c r="C120" t="str">
        <f>VLOOKUP(A120,PLCW!O:P,2,FALSE)</f>
        <v>N-PLCW1-CL1-J-PV-CL_471FNDJI_B</v>
      </c>
    </row>
    <row r="121" spans="1:3" x14ac:dyDescent="0.35">
      <c r="A121" t="s">
        <v>1644</v>
      </c>
      <c r="B121" t="str">
        <f>VLOOKUP(A121,PLCW!M:N,2,FALSE)</f>
        <v>Cooler</v>
      </c>
      <c r="C121" t="str">
        <f>VLOOKUP(A121,PLCW!O:P,2,FALSE)</f>
        <v>N-PLCW1-CL1-R-PV-CL_471FND_SI</v>
      </c>
    </row>
    <row r="122" spans="1:3" x14ac:dyDescent="0.35">
      <c r="A122" t="s">
        <v>1297</v>
      </c>
      <c r="B122" t="str">
        <f>VLOOKUP(A122,PLCW!M:N,2,FALSE)</f>
        <v>Cooler</v>
      </c>
      <c r="C122" t="str">
        <f>VLOOKUP(A122,PLCW!O:P,2,FALSE)</f>
        <v>N-PLCW1-CL1-I-PV-CL_471FND_II</v>
      </c>
    </row>
    <row r="123" spans="1:3" x14ac:dyDescent="0.35">
      <c r="A123" t="s">
        <v>1166</v>
      </c>
      <c r="B123" t="str">
        <f>VLOOKUP(A123,PLCW!M:N,2,FALSE)</f>
        <v>Cooler</v>
      </c>
      <c r="C123" t="str">
        <f>VLOOKUP(A123,PLCW!O:P,2,FALSE)</f>
        <v>N-PLCW1-CL1-F-FSP-CL_471FND_SPSPA</v>
      </c>
    </row>
    <row r="124" spans="1:3" x14ac:dyDescent="0.35">
      <c r="A124" t="s">
        <v>1232</v>
      </c>
      <c r="B124" t="str">
        <f>VLOOKUP(A124,PLCW!M:N,2,FALSE)</f>
        <v>Cooler</v>
      </c>
      <c r="C124" t="str">
        <f>VLOOKUP(A124,PLCW!O:P,2,FALSE)</f>
        <v>N-PLCW1-CL1-F-PV-CL_471FND_FT1</v>
      </c>
    </row>
    <row r="125" spans="1:3" x14ac:dyDescent="0.35">
      <c r="A125" t="s">
        <v>1569</v>
      </c>
      <c r="B125" t="str">
        <f>VLOOKUP(A125,PLCW!M:N,2,FALSE)</f>
        <v>Cooler</v>
      </c>
      <c r="C125" t="str">
        <f>VLOOKUP(A125,PLCW!O:P,2,FALSE)</f>
        <v>N-PLCW1-CL1-R-FSP-CL_471FND_SPSPM</v>
      </c>
    </row>
    <row r="126" spans="1:3" x14ac:dyDescent="0.35">
      <c r="A126" t="s">
        <v>1774</v>
      </c>
      <c r="B126" t="e">
        <f>VLOOKUP(A126,PLCW!M:N,2,FALSE)</f>
        <v>#N/A</v>
      </c>
      <c r="C126" t="e">
        <f>VLOOKUP(A126,PLCW!O:P,2,FALSE)</f>
        <v>#N/A</v>
      </c>
    </row>
    <row r="127" spans="1:3" x14ac:dyDescent="0.35">
      <c r="A127" t="s">
        <v>1775</v>
      </c>
      <c r="B127" t="e">
        <f>VLOOKUP(A127,PLCW!M:N,2,FALSE)</f>
        <v>#N/A</v>
      </c>
      <c r="C127" t="e">
        <f>VLOOKUP(A127,PLCW!O:P,2,FALSE)</f>
        <v>#N/A</v>
      </c>
    </row>
    <row r="128" spans="1:3" x14ac:dyDescent="0.35">
      <c r="A128" t="s">
        <v>1776</v>
      </c>
      <c r="B128" t="e">
        <f>VLOOKUP(A128,PLCW!M:N,2,FALSE)</f>
        <v>#N/A</v>
      </c>
      <c r="C128" t="e">
        <f>VLOOKUP(A128,PLCW!O:P,2,FALSE)</f>
        <v>#N/A</v>
      </c>
    </row>
    <row r="129" spans="1:3" x14ac:dyDescent="0.35">
      <c r="A129" t="s">
        <v>1777</v>
      </c>
      <c r="B129" t="e">
        <f>VLOOKUP(A129,PLCW!M:N,2,FALSE)</f>
        <v>#N/A</v>
      </c>
      <c r="C129" t="e">
        <f>VLOOKUP(A129,PLCW!O:P,2,FALSE)</f>
        <v>#N/A</v>
      </c>
    </row>
    <row r="130" spans="1:3" x14ac:dyDescent="0.35">
      <c r="A130" t="s">
        <v>1778</v>
      </c>
      <c r="B130" t="e">
        <f>VLOOKUP(A130,PLCW!M:N,2,FALSE)</f>
        <v>#N/A</v>
      </c>
      <c r="C130" t="e">
        <f>VLOOKUP(A130,PLCW!O:P,2,FALSE)</f>
        <v>#N/A</v>
      </c>
    </row>
    <row r="131" spans="1:3" x14ac:dyDescent="0.35">
      <c r="A131" t="s">
        <v>1779</v>
      </c>
      <c r="B131" t="e">
        <f>VLOOKUP(A131,PLCW!M:N,2,FALSE)</f>
        <v>#N/A</v>
      </c>
      <c r="C131" t="e">
        <f>VLOOKUP(A131,PLCW!O:P,2,FALSE)</f>
        <v>#N/A</v>
      </c>
    </row>
    <row r="132" spans="1:3" x14ac:dyDescent="0.35">
      <c r="A132" t="s">
        <v>1780</v>
      </c>
      <c r="B132" t="e">
        <f>VLOOKUP(A132,PLCW!M:N,2,FALSE)</f>
        <v>#N/A</v>
      </c>
      <c r="C132" t="e">
        <f>VLOOKUP(A132,PLCW!O:P,2,FALSE)</f>
        <v>#N/A</v>
      </c>
    </row>
    <row r="133" spans="1:3" x14ac:dyDescent="0.35">
      <c r="A133" t="s">
        <v>1781</v>
      </c>
      <c r="B133" t="e">
        <f>VLOOKUP(A133,PLCW!M:N,2,FALSE)</f>
        <v>#N/A</v>
      </c>
      <c r="C133" t="e">
        <f>VLOOKUP(A133,PLCW!O:P,2,FALSE)</f>
        <v>#N/A</v>
      </c>
    </row>
    <row r="134" spans="1:3" x14ac:dyDescent="0.35">
      <c r="A134" t="s">
        <v>1782</v>
      </c>
      <c r="B134" t="e">
        <f>VLOOKUP(A134,PLCW!M:N,2,FALSE)</f>
        <v>#N/A</v>
      </c>
      <c r="C134" t="e">
        <f>VLOOKUP(A134,PLCW!O:P,2,FALSE)</f>
        <v>#N/A</v>
      </c>
    </row>
    <row r="135" spans="1:3" x14ac:dyDescent="0.35">
      <c r="A135" t="s">
        <v>1783</v>
      </c>
      <c r="B135" t="e">
        <f>VLOOKUP(A135,PLCW!M:N,2,FALSE)</f>
        <v>#N/A</v>
      </c>
      <c r="C135" t="e">
        <f>VLOOKUP(A135,PLCW!O:P,2,FALSE)</f>
        <v>#N/A</v>
      </c>
    </row>
    <row r="136" spans="1:3" x14ac:dyDescent="0.35">
      <c r="A136" t="s">
        <v>1784</v>
      </c>
      <c r="B136" t="e">
        <f>VLOOKUP(A136,PLCW!M:N,2,FALSE)</f>
        <v>#N/A</v>
      </c>
      <c r="C136" t="e">
        <f>VLOOKUP(A136,PLCW!O:P,2,FALSE)</f>
        <v>#N/A</v>
      </c>
    </row>
    <row r="137" spans="1:3" x14ac:dyDescent="0.35">
      <c r="A137" t="s">
        <v>1785</v>
      </c>
      <c r="B137" t="e">
        <f>VLOOKUP(A137,PLCW!M:N,2,FALSE)</f>
        <v>#N/A</v>
      </c>
      <c r="C137" t="e">
        <f>VLOOKUP(A137,PLCW!O:P,2,FALSE)</f>
        <v>#N/A</v>
      </c>
    </row>
    <row r="138" spans="1:3" x14ac:dyDescent="0.35">
      <c r="A138" t="s">
        <v>1786</v>
      </c>
      <c r="B138" t="e">
        <f>VLOOKUP(A138,PLCW!M:N,2,FALSE)</f>
        <v>#N/A</v>
      </c>
      <c r="C138" t="e">
        <f>VLOOKUP(A138,PLCW!O:P,2,FALSE)</f>
        <v>#N/A</v>
      </c>
    </row>
    <row r="139" spans="1:3" x14ac:dyDescent="0.35">
      <c r="A139" t="s">
        <v>1787</v>
      </c>
      <c r="B139" t="e">
        <f>VLOOKUP(A139,PLCW!M:N,2,FALSE)</f>
        <v>#N/A</v>
      </c>
      <c r="C139" t="e">
        <f>VLOOKUP(A139,PLCW!O:P,2,FALSE)</f>
        <v>#N/A</v>
      </c>
    </row>
    <row r="140" spans="1:3" x14ac:dyDescent="0.35">
      <c r="A140" t="s">
        <v>1504</v>
      </c>
      <c r="B140" t="str">
        <f>VLOOKUP(A140,PLCW!M:N,2,FALSE)</f>
        <v>Cooler</v>
      </c>
      <c r="C140" t="str">
        <f>VLOOKUP(A140,PLCW!O:P,2,FALSE)</f>
        <v>N-PLCW1-CL1-R-FSP-CL_471CC1_SP</v>
      </c>
    </row>
    <row r="141" spans="1:3" x14ac:dyDescent="0.35">
      <c r="A141" t="s">
        <v>1788</v>
      </c>
      <c r="B141" t="e">
        <f>VLOOKUP(A141,PLCW!M:N,2,FALSE)</f>
        <v>#N/A</v>
      </c>
      <c r="C141" t="e">
        <f>VLOOKUP(A141,PLCW!O:P,2,FALSE)</f>
        <v>#N/A</v>
      </c>
    </row>
    <row r="142" spans="1:3" x14ac:dyDescent="0.35">
      <c r="A142" t="s">
        <v>1579</v>
      </c>
      <c r="B142" t="str">
        <f>VLOOKUP(A142,PLCW!M:N,2,FALSE)</f>
        <v>Cooler</v>
      </c>
      <c r="C142" t="str">
        <f>VLOOKUP(A142,PLCW!O:P,2,FALSE)</f>
        <v>N-PLCW1-CL1-R-PV-CL_471CC1_SI</v>
      </c>
    </row>
    <row r="143" spans="1:3" x14ac:dyDescent="0.35">
      <c r="A143" t="s">
        <v>1789</v>
      </c>
      <c r="B143" t="e">
        <f>VLOOKUP(A143,PLCW!M:N,2,FALSE)</f>
        <v>#N/A</v>
      </c>
      <c r="C143" t="e">
        <f>VLOOKUP(A143,PLCW!O:P,2,FALSE)</f>
        <v>#N/A</v>
      </c>
    </row>
    <row r="144" spans="1:3" x14ac:dyDescent="0.35">
      <c r="A144" t="s">
        <v>1308</v>
      </c>
      <c r="B144" t="str">
        <f>VLOOKUP(A144,PLCW!M:N,2,FALSE)</f>
        <v>Cooler</v>
      </c>
      <c r="C144" t="str">
        <f>VLOOKUP(A144,PLCW!O:P,2,FALSE)</f>
        <v>N-PLCW1-CL1-I-PV-CL_471RC1II_B</v>
      </c>
    </row>
    <row r="145" spans="1:3" x14ac:dyDescent="0.35">
      <c r="A145" t="s">
        <v>1314</v>
      </c>
      <c r="B145" t="str">
        <f>VLOOKUP(A145,PLCW!M:N,2,FALSE)</f>
        <v>Cooler</v>
      </c>
      <c r="C145" t="str">
        <f>VLOOKUP(A145,PLCW!O:P,2,FALSE)</f>
        <v>N-PLCW1-CL1-I-PV-CL_471RC3II_B</v>
      </c>
    </row>
    <row r="146" spans="1:3" x14ac:dyDescent="0.35">
      <c r="A146" t="s">
        <v>1319</v>
      </c>
      <c r="B146" t="str">
        <f>VLOOKUP(A146,PLCW!M:N,2,FALSE)</f>
        <v>Cooler</v>
      </c>
      <c r="C146" t="str">
        <f>VLOOKUP(A146,PLCW!O:P,2,FALSE)</f>
        <v>N-PLCW1-CL1-I-PV-CL_471RC5II_B</v>
      </c>
    </row>
    <row r="147" spans="1:3" x14ac:dyDescent="0.35">
      <c r="A147" t="s">
        <v>1649</v>
      </c>
      <c r="B147" t="str">
        <f>VLOOKUP(A147,PLCW!M:N,2,FALSE)</f>
        <v>Cooler</v>
      </c>
      <c r="C147" t="str">
        <f>VLOOKUP(A147,PLCW!O:P,2,FALSE)</f>
        <v>N-PLCW1-CL1-T-PV-CL_471EP1_TT2</v>
      </c>
    </row>
    <row r="148" spans="1:3" x14ac:dyDescent="0.35">
      <c r="A148" t="s">
        <v>1411</v>
      </c>
      <c r="B148" t="str">
        <f>VLOOKUP(A148,PLCW!M:N,2,FALSE)</f>
        <v>Cooler</v>
      </c>
      <c r="C148" t="str">
        <f>VLOOKUP(A148,PLCW!O:P,2,FALSE)</f>
        <v>N-PLCW1-CL1-P-PV-CL_471EP1_PT1</v>
      </c>
    </row>
    <row r="149" spans="1:3" x14ac:dyDescent="0.35">
      <c r="A149" t="s">
        <v>1416</v>
      </c>
      <c r="B149" t="str">
        <f>VLOOKUP(A149,PLCW!M:N,2,FALSE)</f>
        <v>Cooler</v>
      </c>
      <c r="C149" t="str">
        <f>VLOOKUP(A149,PLCW!O:P,2,FALSE)</f>
        <v>N-PLCW1-CL1-P-PV-CL_471EP1_PT2</v>
      </c>
    </row>
    <row r="150" spans="1:3" x14ac:dyDescent="0.35">
      <c r="A150" t="s">
        <v>1654</v>
      </c>
      <c r="B150" t="str">
        <f>VLOOKUP(A150,PLCW!M:N,2,FALSE)</f>
        <v>Cooler</v>
      </c>
      <c r="C150" t="str">
        <f>VLOOKUP(A150,PLCW!O:P,2,FALSE)</f>
        <v>N-PLCW1-CL1-T-PV-CL_471EP1_TT3</v>
      </c>
    </row>
    <row r="151" spans="1:3" x14ac:dyDescent="0.35">
      <c r="A151" t="s">
        <v>1390</v>
      </c>
      <c r="B151" t="str">
        <f>VLOOKUP(A151,PLCW!M:N,2,FALSE)</f>
        <v>Cooler</v>
      </c>
      <c r="C151" t="str">
        <f>VLOOKUP(A151,PLCW!O:P,2,FALSE)</f>
        <v>N-PLCW1-CL1-J-PV-W1_TSP_MW001</v>
      </c>
    </row>
    <row r="152" spans="1:3" x14ac:dyDescent="0.35">
      <c r="A152" t="s">
        <v>1659</v>
      </c>
      <c r="B152" t="str">
        <f>VLOOKUP(A152,PLCW!M:N,2,FALSE)</f>
        <v>Cooler</v>
      </c>
      <c r="C152" t="str">
        <f>VLOOKUP(A152,PLCW!O:P,2,FALSE)</f>
        <v>N-PLCW1-CL1-T-PV-W1A_AQC_FG_102_TT</v>
      </c>
    </row>
    <row r="153" spans="1:3" x14ac:dyDescent="0.35">
      <c r="A153" t="s">
        <v>1498</v>
      </c>
      <c r="B153" t="str">
        <f>VLOOKUP(A153,PLCW!M:N,2,FALSE)</f>
        <v>Cooler</v>
      </c>
      <c r="C153" t="str">
        <f>VLOOKUP(A153,PLCW!O:P,2,FALSE)</f>
        <v>N-PLCW1-CL1-P-PV-W1B1_AQC_FG_INLT_DP</v>
      </c>
    </row>
    <row r="154" spans="1:3" x14ac:dyDescent="0.35">
      <c r="A154" t="s">
        <v>1493</v>
      </c>
      <c r="B154" t="str">
        <f>VLOOKUP(A154,PLCW!M:N,2,FALSE)</f>
        <v>Cooler</v>
      </c>
      <c r="C154" t="str">
        <f>VLOOKUP(A154,PLCW!O:P,2,FALSE)</f>
        <v>N-PLCW1-CL1-P-PV-W1A_AQC_FG_103_PT</v>
      </c>
    </row>
    <row r="155" spans="1:3" x14ac:dyDescent="0.35">
      <c r="A155" t="s">
        <v>1405</v>
      </c>
      <c r="B155" t="str">
        <f>VLOOKUP(A155,PLCW!M:N,2,FALSE)</f>
        <v>Cooler</v>
      </c>
      <c r="C155" t="str">
        <f>VLOOKUP(A155,PLCW!O:P,2,FALSE)</f>
        <v>N-PLCW1-CL1-P-FSP-CL_471FNF_SPSPA</v>
      </c>
    </row>
    <row r="156" spans="1:3" x14ac:dyDescent="0.35">
      <c r="A156" t="s">
        <v>1488</v>
      </c>
      <c r="B156" t="str">
        <f>VLOOKUP(A156,PLCW!M:N,2,FALSE)</f>
        <v>Cooler</v>
      </c>
      <c r="C156" t="str">
        <f>VLOOKUP(A156,PLCW!O:P,2,FALSE)</f>
        <v>N-PLCW1-CL1-P-PV-CL_KL_HD_DRAFT</v>
      </c>
    </row>
    <row r="157" spans="1:3" x14ac:dyDescent="0.35">
      <c r="A157" t="s">
        <v>1574</v>
      </c>
      <c r="B157" t="str">
        <f>VLOOKUP(A157,PLCW!M:N,2,FALSE)</f>
        <v>Cooler</v>
      </c>
      <c r="C157" t="str">
        <f>VLOOKUP(A157,PLCW!O:P,2,FALSE)</f>
        <v>N-PLCW1-CL1-R-FSP-CL_471FNF_SPSPM</v>
      </c>
    </row>
    <row r="158" spans="1:3" x14ac:dyDescent="0.35">
      <c r="A158" t="s">
        <v>1302</v>
      </c>
      <c r="B158" t="str">
        <f>VLOOKUP(A158,PLCW!M:N,2,FALSE)</f>
        <v>Cooler</v>
      </c>
      <c r="C158" t="str">
        <f>VLOOKUP(A158,PLCW!O:P,2,FALSE)</f>
        <v>N-PLCW1-CL1-I-PV-CL_471FNF_II</v>
      </c>
    </row>
    <row r="159" spans="1:3" x14ac:dyDescent="0.35">
      <c r="A159" t="s">
        <v>1790</v>
      </c>
      <c r="B159" t="e">
        <f>VLOOKUP(A159,PLCW!M:N,2,FALSE)</f>
        <v>#N/A</v>
      </c>
      <c r="C159" t="e">
        <f>VLOOKUP(A159,PLCW!O:P,2,FALSE)</f>
        <v>#N/A</v>
      </c>
    </row>
    <row r="160" spans="1:3" x14ac:dyDescent="0.35">
      <c r="A160" t="s">
        <v>1395</v>
      </c>
      <c r="B160" t="str">
        <f>VLOOKUP(A160,PLCW!M:N,2,FALSE)</f>
        <v>Cooler</v>
      </c>
      <c r="C160" t="str">
        <f>VLOOKUP(A160,PLCW!O:P,2,FALSE)</f>
        <v>N-PLCW1-CL1-L-PV-CL_491SI1_LT1</v>
      </c>
    </row>
    <row r="161" spans="1:3" x14ac:dyDescent="0.35">
      <c r="A161" t="s">
        <v>1791</v>
      </c>
      <c r="B161" t="e">
        <f>VLOOKUP(A161,PLCW!M:N,2,FALSE)</f>
        <v>#N/A</v>
      </c>
      <c r="C161" t="e">
        <f>VLOOKUP(A161,PLCW!O:P,2,FALSE)</f>
        <v>#N/A</v>
      </c>
    </row>
    <row r="162" spans="1:3" x14ac:dyDescent="0.35">
      <c r="A162" t="s">
        <v>1400</v>
      </c>
      <c r="B162" t="str">
        <f>VLOOKUP(A162,PLCW!M:N,2,FALSE)</f>
        <v>Cooler</v>
      </c>
      <c r="C162" t="str">
        <f>VLOOKUP(A162,PLCW!O:P,2,FALSE)</f>
        <v>N-PLCW1-CL1-L-PV-CL_BED_HEIGHT</v>
      </c>
    </row>
    <row r="163" spans="1:3" x14ac:dyDescent="0.35">
      <c r="A163" t="s">
        <v>1792</v>
      </c>
      <c r="B163" t="e">
        <f>VLOOKUP(A163,PLCW!M:N,2,FALSE)</f>
        <v>#N/A</v>
      </c>
      <c r="C163" t="e">
        <f>VLOOKUP(A163,PLCW!O:P,2,FALSE)</f>
        <v>#N/A</v>
      </c>
    </row>
    <row r="164" spans="1:3" x14ac:dyDescent="0.35">
      <c r="A164" t="s">
        <v>1793</v>
      </c>
      <c r="B164" t="e">
        <f>VLOOKUP(A164,PLCW!M:N,2,FALSE)</f>
        <v>#N/A</v>
      </c>
      <c r="C164" t="e">
        <f>VLOOKUP(A164,PLCW!O:P,2,FALSE)</f>
        <v>#N/A</v>
      </c>
    </row>
    <row r="165" spans="1:3" x14ac:dyDescent="0.35">
      <c r="A165" t="s">
        <v>1794</v>
      </c>
      <c r="B165" t="e">
        <f>VLOOKUP(A165,PLCW!M:N,2,FALSE)</f>
        <v>#N/A</v>
      </c>
      <c r="C165" t="e">
        <f>VLOOKUP(A165,PLCW!O:P,2,FALSE)</f>
        <v>#N/A</v>
      </c>
    </row>
    <row r="166" spans="1:3" x14ac:dyDescent="0.35">
      <c r="A166" t="s">
        <v>1795</v>
      </c>
      <c r="B166" t="e">
        <f>VLOOKUP(A166,PLCW!M:N,2,FALSE)</f>
        <v>#N/A</v>
      </c>
      <c r="C166" t="e">
        <f>VLOOKUP(A166,PLCW!O:P,2,FALSE)</f>
        <v>#N/A</v>
      </c>
    </row>
    <row r="167" spans="1:3" x14ac:dyDescent="0.35">
      <c r="A167" t="s">
        <v>1796</v>
      </c>
      <c r="B167" t="e">
        <f>VLOOKUP(A167,PLCW!M:N,2,FALSE)</f>
        <v>#N/A</v>
      </c>
      <c r="C167" t="e">
        <f>VLOOKUP(A167,PLCW!O:P,2,FALSE)</f>
        <v>#N/A</v>
      </c>
    </row>
    <row r="168" spans="1:3" x14ac:dyDescent="0.35">
      <c r="A168" t="s">
        <v>1797</v>
      </c>
      <c r="B168" t="e">
        <f>VLOOKUP(A168,PLCW!M:N,2,FALSE)</f>
        <v>#N/A</v>
      </c>
      <c r="C168" t="e">
        <f>VLOOKUP(A168,PLCW!O:P,2,FALSE)</f>
        <v>#N/A</v>
      </c>
    </row>
    <row r="169" spans="1:3" x14ac:dyDescent="0.35">
      <c r="A169" t="s">
        <v>1798</v>
      </c>
      <c r="B169" t="e">
        <f>VLOOKUP(A169,PLCW!M:N,2,FALSE)</f>
        <v>#N/A</v>
      </c>
      <c r="C169" t="e">
        <f>VLOOKUP(A169,PLCW!O:P,2,FALSE)</f>
        <v>#N/A</v>
      </c>
    </row>
    <row r="170" spans="1:3" x14ac:dyDescent="0.35">
      <c r="A170" t="s">
        <v>1799</v>
      </c>
      <c r="B170" t="e">
        <f>VLOOKUP(A170,PLCW!M:N,2,FALSE)</f>
        <v>#N/A</v>
      </c>
      <c r="C170" t="e">
        <f>VLOOKUP(A170,PLCW!O:P,2,FALSE)</f>
        <v>#N/A</v>
      </c>
    </row>
  </sheetData>
  <autoFilter ref="A1:C1" xr:uid="{E700EAA5-62B2-4CA5-9DC8-2A458C53141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DA79C-8D88-4B06-96DE-CFB277B05474}">
  <dimension ref="A1:C148"/>
  <sheetViews>
    <sheetView workbookViewId="0">
      <selection activeCell="C2" sqref="C2"/>
    </sheetView>
  </sheetViews>
  <sheetFormatPr defaultRowHeight="14.5" x14ac:dyDescent="0.35"/>
  <cols>
    <col min="1" max="1" width="27.81640625" customWidth="1"/>
    <col min="3" max="3" width="22" customWidth="1"/>
  </cols>
  <sheetData>
    <row r="1" spans="1:3" x14ac:dyDescent="0.35">
      <c r="A1" t="s">
        <v>12</v>
      </c>
      <c r="B1" t="s">
        <v>5</v>
      </c>
      <c r="C1" t="s">
        <v>13</v>
      </c>
    </row>
    <row r="2" spans="1:3" x14ac:dyDescent="0.35">
      <c r="A2" t="s">
        <v>1800</v>
      </c>
      <c r="B2" t="e">
        <f>VLOOKUP(A2,PLCW!M:N,2,FALSE)</f>
        <v>#N/A</v>
      </c>
      <c r="C2" t="e">
        <f>VLOOKUP(A2,PLCW!O:P,2,FALSE)</f>
        <v>#N/A</v>
      </c>
    </row>
    <row r="3" spans="1:3" x14ac:dyDescent="0.35">
      <c r="A3" t="s">
        <v>729</v>
      </c>
      <c r="B3" t="str">
        <f>VLOOKUP(A3,PLCW!M:N,2,FALSE)</f>
        <v>Kiln</v>
      </c>
      <c r="C3" t="str">
        <f>VLOOKUP(A3,PLCW!O:P,2,FALSE)</f>
        <v>N-PLCW1-KL1-P-PV-PH_441PH1_CN1A_PT1</v>
      </c>
    </row>
    <row r="4" spans="1:3" x14ac:dyDescent="0.35">
      <c r="A4" t="s">
        <v>953</v>
      </c>
      <c r="B4" t="str">
        <f>VLOOKUP(A4,PLCW!M:N,2,FALSE)</f>
        <v>Kiln</v>
      </c>
      <c r="C4" t="str">
        <f>VLOOKUP(A4,PLCW!O:P,2,FALSE)</f>
        <v>N-PLCW1-KL1-T-PV-PH_441PH1_CN1A_TT1</v>
      </c>
    </row>
    <row r="5" spans="1:3" x14ac:dyDescent="0.35">
      <c r="A5" t="s">
        <v>733</v>
      </c>
      <c r="B5" t="str">
        <f>VLOOKUP(A5,PLCW!M:N,2,FALSE)</f>
        <v>Kiln</v>
      </c>
      <c r="C5" t="str">
        <f>VLOOKUP(A5,PLCW!O:P,2,FALSE)</f>
        <v>N-PLCW1-KL1-P-PV-PH_441PH1_CN1A_PT2</v>
      </c>
    </row>
    <row r="6" spans="1:3" x14ac:dyDescent="0.35">
      <c r="A6" t="s">
        <v>958</v>
      </c>
      <c r="B6" t="str">
        <f>VLOOKUP(A6,PLCW!M:N,2,FALSE)</f>
        <v>Kiln</v>
      </c>
      <c r="C6" t="str">
        <f>VLOOKUP(A6,PLCW!O:P,2,FALSE)</f>
        <v>N-PLCW1-KL1-T-PV-PH_441PH1_CN1A_TT2</v>
      </c>
    </row>
    <row r="7" spans="1:3" x14ac:dyDescent="0.35">
      <c r="A7" t="s">
        <v>1801</v>
      </c>
      <c r="B7" t="e">
        <f>VLOOKUP(A7,PLCW!M:N,2,FALSE)</f>
        <v>#N/A</v>
      </c>
      <c r="C7" t="e">
        <f>VLOOKUP(A7,PLCW!O:P,2,FALSE)</f>
        <v>#N/A</v>
      </c>
    </row>
    <row r="8" spans="1:3" x14ac:dyDescent="0.35">
      <c r="A8" t="s">
        <v>738</v>
      </c>
      <c r="B8" t="str">
        <f>VLOOKUP(A8,PLCW!M:N,2,FALSE)</f>
        <v>Kiln</v>
      </c>
      <c r="C8" t="str">
        <f>VLOOKUP(A8,PLCW!O:P,2,FALSE)</f>
        <v>N-PLCW1-KL1-P-PV-PH_441PH1_CN1B_PT1</v>
      </c>
    </row>
    <row r="9" spans="1:3" x14ac:dyDescent="0.35">
      <c r="A9" t="s">
        <v>963</v>
      </c>
      <c r="B9" t="str">
        <f>VLOOKUP(A9,PLCW!M:N,2,FALSE)</f>
        <v>Kiln</v>
      </c>
      <c r="C9" t="str">
        <f>VLOOKUP(A9,PLCW!O:P,2,FALSE)</f>
        <v>N-PLCW1-KL1-T-PV-PH_441PH1_CN1B_TT1</v>
      </c>
    </row>
    <row r="10" spans="1:3" x14ac:dyDescent="0.35">
      <c r="A10" t="s">
        <v>742</v>
      </c>
      <c r="B10" t="str">
        <f>VLOOKUP(A10,PLCW!M:N,2,FALSE)</f>
        <v>Kiln</v>
      </c>
      <c r="C10" t="str">
        <f>VLOOKUP(A10,PLCW!O:P,2,FALSE)</f>
        <v>N-PLCW1-KL1-P-PV-PH_441PH1_CN1B_PT2</v>
      </c>
    </row>
    <row r="11" spans="1:3" x14ac:dyDescent="0.35">
      <c r="A11" t="s">
        <v>968</v>
      </c>
      <c r="B11" t="str">
        <f>VLOOKUP(A11,PLCW!M:N,2,FALSE)</f>
        <v>Kiln</v>
      </c>
      <c r="C11" t="str">
        <f>VLOOKUP(A11,PLCW!O:P,2,FALSE)</f>
        <v>N-PLCW1-KL1-T-PV-PH_441PH1_CN1B_TT2</v>
      </c>
    </row>
    <row r="12" spans="1:3" x14ac:dyDescent="0.35">
      <c r="A12" t="s">
        <v>792</v>
      </c>
      <c r="B12" t="str">
        <f>VLOOKUP(A12,PLCW!M:N,2,FALSE)</f>
        <v>Kiln</v>
      </c>
      <c r="C12" t="str">
        <f>VLOOKUP(A12,PLCW!O:P,2,FALSE)</f>
        <v>N-PLCW1-KL1-P-PV-PH_441PH2_CN1A_PT1</v>
      </c>
    </row>
    <row r="13" spans="1:3" x14ac:dyDescent="0.35">
      <c r="A13" t="s">
        <v>1018</v>
      </c>
      <c r="B13" t="str">
        <f>VLOOKUP(A13,PLCW!M:N,2,FALSE)</f>
        <v>Kiln</v>
      </c>
      <c r="C13" t="str">
        <f>VLOOKUP(A13,PLCW!O:P,2,FALSE)</f>
        <v>N-PLCW1-KL1-T-PV-PH_441PH2_CN1A_TT1</v>
      </c>
    </row>
    <row r="14" spans="1:3" x14ac:dyDescent="0.35">
      <c r="A14" t="s">
        <v>796</v>
      </c>
      <c r="B14" t="str">
        <f>VLOOKUP(A14,PLCW!M:N,2,FALSE)</f>
        <v>Kiln</v>
      </c>
      <c r="C14" t="str">
        <f>VLOOKUP(A14,PLCW!O:P,2,FALSE)</f>
        <v>N-PLCW1-KL1-P-PV-PH_441PH2_CN1A_PT2</v>
      </c>
    </row>
    <row r="15" spans="1:3" x14ac:dyDescent="0.35">
      <c r="A15" t="s">
        <v>1023</v>
      </c>
      <c r="B15" t="str">
        <f>VLOOKUP(A15,PLCW!M:N,2,FALSE)</f>
        <v>Kiln</v>
      </c>
      <c r="C15" t="str">
        <f>VLOOKUP(A15,PLCW!O:P,2,FALSE)</f>
        <v>N-PLCW1-KL1-T-PV-PH_441PH2_CN1A_TT2</v>
      </c>
    </row>
    <row r="16" spans="1:3" x14ac:dyDescent="0.35">
      <c r="A16" t="s">
        <v>801</v>
      </c>
      <c r="B16" t="str">
        <f>VLOOKUP(A16,PLCW!M:N,2,FALSE)</f>
        <v>Kiln</v>
      </c>
      <c r="C16" t="str">
        <f>VLOOKUP(A16,PLCW!O:P,2,FALSE)</f>
        <v>N-PLCW1-KL1-P-PV-PH_441PH2_CN1B_PT1</v>
      </c>
    </row>
    <row r="17" spans="1:3" x14ac:dyDescent="0.35">
      <c r="A17" t="s">
        <v>1028</v>
      </c>
      <c r="B17" t="str">
        <f>VLOOKUP(A17,PLCW!M:N,2,FALSE)</f>
        <v>Kiln</v>
      </c>
      <c r="C17" t="str">
        <f>VLOOKUP(A17,PLCW!O:P,2,FALSE)</f>
        <v>N-PLCW1-KL1-T-PV-PH_441PH2_CN1B_TT1</v>
      </c>
    </row>
    <row r="18" spans="1:3" x14ac:dyDescent="0.35">
      <c r="A18" t="s">
        <v>805</v>
      </c>
      <c r="B18" t="str">
        <f>VLOOKUP(A18,PLCW!M:N,2,FALSE)</f>
        <v>Kiln</v>
      </c>
      <c r="C18" t="str">
        <f>VLOOKUP(A18,PLCW!O:P,2,FALSE)</f>
        <v>N-PLCW1-KL1-P-PV-PH_441PH2_CN1B_PT2</v>
      </c>
    </row>
    <row r="19" spans="1:3" x14ac:dyDescent="0.35">
      <c r="A19" t="s">
        <v>1033</v>
      </c>
      <c r="B19" t="str">
        <f>VLOOKUP(A19,PLCW!M:N,2,FALSE)</f>
        <v>Kiln</v>
      </c>
      <c r="C19" t="str">
        <f>VLOOKUP(A19,PLCW!O:P,2,FALSE)</f>
        <v>N-PLCW1-KL1-T-PV-PH_441PH2_CN1B_TT2</v>
      </c>
    </row>
    <row r="20" spans="1:3" x14ac:dyDescent="0.35">
      <c r="A20" t="s">
        <v>1802</v>
      </c>
      <c r="B20" t="e">
        <f>VLOOKUP(A20,PLCW!M:N,2,FALSE)</f>
        <v>#N/A</v>
      </c>
      <c r="C20" t="e">
        <f>VLOOKUP(A20,PLCW!O:P,2,FALSE)</f>
        <v>#N/A</v>
      </c>
    </row>
    <row r="21" spans="1:3" x14ac:dyDescent="0.35">
      <c r="A21" t="s">
        <v>747</v>
      </c>
      <c r="B21" t="str">
        <f>VLOOKUP(A21,PLCW!M:N,2,FALSE)</f>
        <v>Kiln</v>
      </c>
      <c r="C21" t="str">
        <f>VLOOKUP(A21,PLCW!O:P,2,FALSE)</f>
        <v>N-PLCW1-KL1-P-PV-PH_441PH1_CN2_PT1</v>
      </c>
    </row>
    <row r="22" spans="1:3" x14ac:dyDescent="0.35">
      <c r="A22" t="s">
        <v>973</v>
      </c>
      <c r="B22" t="str">
        <f>VLOOKUP(A22,PLCW!M:N,2,FALSE)</f>
        <v>Kiln</v>
      </c>
      <c r="C22" t="str">
        <f>VLOOKUP(A22,PLCW!O:P,2,FALSE)</f>
        <v>N-PLCW1-KL1-T-PV-PH_441PH1_CN2_TT1</v>
      </c>
    </row>
    <row r="23" spans="1:3" x14ac:dyDescent="0.35">
      <c r="A23" t="s">
        <v>751</v>
      </c>
      <c r="B23" t="str">
        <f>VLOOKUP(A23,PLCW!M:N,2,FALSE)</f>
        <v>Kiln</v>
      </c>
      <c r="C23" t="str">
        <f>VLOOKUP(A23,PLCW!O:P,2,FALSE)</f>
        <v>N-PLCW1-KL1-P-PV-PH_441PH1_CN2_PT2</v>
      </c>
    </row>
    <row r="24" spans="1:3" x14ac:dyDescent="0.35">
      <c r="A24" t="s">
        <v>978</v>
      </c>
      <c r="B24" t="str">
        <f>VLOOKUP(A24,PLCW!M:N,2,FALSE)</f>
        <v>Kiln</v>
      </c>
      <c r="C24" t="str">
        <f>VLOOKUP(A24,PLCW!O:P,2,FALSE)</f>
        <v>N-PLCW1-KL1-T-PV-PH_441PH1_CN2_TT2</v>
      </c>
    </row>
    <row r="25" spans="1:3" x14ac:dyDescent="0.35">
      <c r="A25" t="s">
        <v>1803</v>
      </c>
      <c r="B25" t="e">
        <f>VLOOKUP(A25,PLCW!M:N,2,FALSE)</f>
        <v>#N/A</v>
      </c>
      <c r="C25" t="e">
        <f>VLOOKUP(A25,PLCW!O:P,2,FALSE)</f>
        <v>#N/A</v>
      </c>
    </row>
    <row r="26" spans="1:3" x14ac:dyDescent="0.35">
      <c r="A26" t="s">
        <v>765</v>
      </c>
      <c r="B26" t="str">
        <f>VLOOKUP(A26,PLCW!M:N,2,FALSE)</f>
        <v>Kiln</v>
      </c>
      <c r="C26" t="str">
        <f>VLOOKUP(A26,PLCW!O:P,2,FALSE)</f>
        <v>N-PLCW1-KL1-P-PV-PH_441PH1_CN4_PT1</v>
      </c>
    </row>
    <row r="27" spans="1:3" x14ac:dyDescent="0.35">
      <c r="A27" t="s">
        <v>993</v>
      </c>
      <c r="B27" t="str">
        <f>VLOOKUP(A27,PLCW!M:N,2,FALSE)</f>
        <v>Kiln</v>
      </c>
      <c r="C27" t="str">
        <f>VLOOKUP(A27,PLCW!O:P,2,FALSE)</f>
        <v>N-PLCW1-KL1-T-PV-PH_441PH1_CN4_TT1</v>
      </c>
    </row>
    <row r="28" spans="1:3" x14ac:dyDescent="0.35">
      <c r="A28" t="s">
        <v>769</v>
      </c>
      <c r="B28" t="str">
        <f>VLOOKUP(A28,PLCW!M:N,2,FALSE)</f>
        <v>Kiln</v>
      </c>
      <c r="C28" t="str">
        <f>VLOOKUP(A28,PLCW!O:P,2,FALSE)</f>
        <v>N-PLCW1-KL1-P-PV-PH_441PH1_CN4_PT2</v>
      </c>
    </row>
    <row r="29" spans="1:3" x14ac:dyDescent="0.35">
      <c r="A29" t="s">
        <v>998</v>
      </c>
      <c r="B29" t="str">
        <f>VLOOKUP(A29,PLCW!M:N,2,FALSE)</f>
        <v>Kiln</v>
      </c>
      <c r="C29" t="str">
        <f>VLOOKUP(A29,PLCW!O:P,2,FALSE)</f>
        <v>N-PLCW1-KL1-T-PV-PH_441PH1_CN4_TT2</v>
      </c>
    </row>
    <row r="30" spans="1:3" x14ac:dyDescent="0.35">
      <c r="A30" t="s">
        <v>1804</v>
      </c>
      <c r="B30" t="e">
        <f>VLOOKUP(A30,PLCW!M:N,2,FALSE)</f>
        <v>#N/A</v>
      </c>
      <c r="C30" t="e">
        <f>VLOOKUP(A30,PLCW!O:P,2,FALSE)</f>
        <v>#N/A</v>
      </c>
    </row>
    <row r="31" spans="1:3" x14ac:dyDescent="0.35">
      <c r="A31" t="s">
        <v>783</v>
      </c>
      <c r="B31" t="str">
        <f>VLOOKUP(A31,PLCW!M:N,2,FALSE)</f>
        <v>Kiln</v>
      </c>
      <c r="C31" t="str">
        <f>VLOOKUP(A31,PLCW!O:P,2,FALSE)</f>
        <v>N-PLCW1-KL1-P-PV-PH_441PH1_CN6_PT1</v>
      </c>
    </row>
    <row r="32" spans="1:3" x14ac:dyDescent="0.35">
      <c r="A32" t="s">
        <v>1008</v>
      </c>
      <c r="B32" t="str">
        <f>VLOOKUP(A32,PLCW!M:N,2,FALSE)</f>
        <v>Kiln</v>
      </c>
      <c r="C32" t="str">
        <f>VLOOKUP(A32,PLCW!O:P,2,FALSE)</f>
        <v>N-PLCW1-KL1-T-PV-PH_441PH1_CN6_TT1</v>
      </c>
    </row>
    <row r="33" spans="1:3" x14ac:dyDescent="0.35">
      <c r="A33" t="s">
        <v>787</v>
      </c>
      <c r="B33" t="str">
        <f>VLOOKUP(A33,PLCW!M:N,2,FALSE)</f>
        <v>Kiln</v>
      </c>
      <c r="C33" t="str">
        <f>VLOOKUP(A33,PLCW!O:P,2,FALSE)</f>
        <v>N-PLCW1-KL1-P-PV-PH_441PH1_CN6_PT2</v>
      </c>
    </row>
    <row r="34" spans="1:3" x14ac:dyDescent="0.35">
      <c r="A34" t="s">
        <v>1013</v>
      </c>
      <c r="B34" t="str">
        <f>VLOOKUP(A34,PLCW!M:N,2,FALSE)</f>
        <v>Kiln</v>
      </c>
      <c r="C34" t="str">
        <f>VLOOKUP(A34,PLCW!O:P,2,FALSE)</f>
        <v>N-PLCW1-KL1-T-PV-PH_441PH1_CN6_TT2</v>
      </c>
    </row>
    <row r="35" spans="1:3" x14ac:dyDescent="0.35">
      <c r="A35" t="s">
        <v>1805</v>
      </c>
      <c r="B35" t="e">
        <f>VLOOKUP(A35,PLCW!M:N,2,FALSE)</f>
        <v>#N/A</v>
      </c>
      <c r="C35" t="e">
        <f>VLOOKUP(A35,PLCW!O:P,2,FALSE)</f>
        <v>#N/A</v>
      </c>
    </row>
    <row r="36" spans="1:3" x14ac:dyDescent="0.35">
      <c r="A36" t="s">
        <v>756</v>
      </c>
      <c r="B36" t="str">
        <f>VLOOKUP(A36,PLCW!M:N,2,FALSE)</f>
        <v>Kiln</v>
      </c>
      <c r="C36" t="str">
        <f>VLOOKUP(A36,PLCW!O:P,2,FALSE)</f>
        <v>N-PLCW1-KL1-P-PV-PH_441PH1_CN3_PT1</v>
      </c>
    </row>
    <row r="37" spans="1:3" x14ac:dyDescent="0.35">
      <c r="A37" t="s">
        <v>983</v>
      </c>
      <c r="B37" t="str">
        <f>VLOOKUP(A37,PLCW!M:N,2,FALSE)</f>
        <v>Kiln</v>
      </c>
      <c r="C37" t="str">
        <f>VLOOKUP(A37,PLCW!O:P,2,FALSE)</f>
        <v>N-PLCW1-KL1-T-PV-PH_441PH1_CN3_TT1</v>
      </c>
    </row>
    <row r="38" spans="1:3" x14ac:dyDescent="0.35">
      <c r="A38" t="s">
        <v>760</v>
      </c>
      <c r="B38" t="str">
        <f>VLOOKUP(A38,PLCW!M:N,2,FALSE)</f>
        <v>Kiln</v>
      </c>
      <c r="C38" t="str">
        <f>VLOOKUP(A38,PLCW!O:P,2,FALSE)</f>
        <v>N-PLCW1-KL1-P-PV-PH_441PH1_CN3_PT2</v>
      </c>
    </row>
    <row r="39" spans="1:3" x14ac:dyDescent="0.35">
      <c r="A39" t="s">
        <v>988</v>
      </c>
      <c r="B39" t="str">
        <f>VLOOKUP(A39,PLCW!M:N,2,FALSE)</f>
        <v>Kiln</v>
      </c>
      <c r="C39" t="str">
        <f>VLOOKUP(A39,PLCW!O:P,2,FALSE)</f>
        <v>N-PLCW1-KL1-T-PV-PH_441PH1_CN3_TT2</v>
      </c>
    </row>
    <row r="40" spans="1:3" x14ac:dyDescent="0.35">
      <c r="A40" t="s">
        <v>1806</v>
      </c>
      <c r="B40" t="e">
        <f>VLOOKUP(A40,PLCW!M:N,2,FALSE)</f>
        <v>#N/A</v>
      </c>
      <c r="C40" t="e">
        <f>VLOOKUP(A40,PLCW!O:P,2,FALSE)</f>
        <v>#N/A</v>
      </c>
    </row>
    <row r="41" spans="1:3" x14ac:dyDescent="0.35">
      <c r="A41" t="s">
        <v>774</v>
      </c>
      <c r="B41" t="str">
        <f>VLOOKUP(A41,PLCW!M:N,2,FALSE)</f>
        <v>Kiln</v>
      </c>
      <c r="C41" t="str">
        <f>VLOOKUP(A41,PLCW!O:P,2,FALSE)</f>
        <v>N-PLCW1-KL1-P-PV-PH_441PH1_CN5_PT1</v>
      </c>
    </row>
    <row r="42" spans="1:3" x14ac:dyDescent="0.35">
      <c r="A42" t="s">
        <v>1003</v>
      </c>
      <c r="B42" t="str">
        <f>VLOOKUP(A42,PLCW!M:N,2,FALSE)</f>
        <v>Kiln</v>
      </c>
      <c r="C42" t="str">
        <f>VLOOKUP(A42,PLCW!O:P,2,FALSE)</f>
        <v>N-PLCW1-KL1-T-PV-PH_441PH1_CN5_TT1</v>
      </c>
    </row>
    <row r="43" spans="1:3" x14ac:dyDescent="0.35">
      <c r="A43" t="s">
        <v>778</v>
      </c>
      <c r="B43" t="str">
        <f>VLOOKUP(A43,PLCW!M:N,2,FALSE)</f>
        <v>Kiln</v>
      </c>
      <c r="C43" t="str">
        <f>VLOOKUP(A43,PLCW!O:P,2,FALSE)</f>
        <v>N-PLCW1-KL1-P-PV-PH_441PH1_CN5_PT2</v>
      </c>
    </row>
    <row r="44" spans="1:3" x14ac:dyDescent="0.35">
      <c r="A44" t="s">
        <v>810</v>
      </c>
      <c r="B44" t="str">
        <f>VLOOKUP(A44,PLCW!M:N,2,FALSE)</f>
        <v>Kiln</v>
      </c>
      <c r="C44" t="str">
        <f>VLOOKUP(A44,PLCW!O:P,2,FALSE)</f>
        <v>N-PLCW1-KL1-P-PV-PH_441PH2_CN2_PT1</v>
      </c>
    </row>
    <row r="45" spans="1:3" x14ac:dyDescent="0.35">
      <c r="A45" t="s">
        <v>1038</v>
      </c>
      <c r="B45" t="str">
        <f>VLOOKUP(A45,PLCW!M:N,2,FALSE)</f>
        <v>Kiln</v>
      </c>
      <c r="C45" t="str">
        <f>VLOOKUP(A45,PLCW!O:P,2,FALSE)</f>
        <v>N-PLCW1-KL1-T-PV-PH_441PH2_CN2_TT1</v>
      </c>
    </row>
    <row r="46" spans="1:3" x14ac:dyDescent="0.35">
      <c r="A46" t="s">
        <v>814</v>
      </c>
      <c r="B46" t="str">
        <f>VLOOKUP(A46,PLCW!M:N,2,FALSE)</f>
        <v>Kiln</v>
      </c>
      <c r="C46" t="str">
        <f>VLOOKUP(A46,PLCW!O:P,2,FALSE)</f>
        <v>N-PLCW1-KL1-P-PV-PH_441PH2_CN2_PT2</v>
      </c>
    </row>
    <row r="47" spans="1:3" x14ac:dyDescent="0.35">
      <c r="A47" t="s">
        <v>1043</v>
      </c>
      <c r="B47" t="str">
        <f>VLOOKUP(A47,PLCW!M:N,2,FALSE)</f>
        <v>Kiln</v>
      </c>
      <c r="C47" t="str">
        <f>VLOOKUP(A47,PLCW!O:P,2,FALSE)</f>
        <v>N-PLCW1-KL1-T-PV-PH_441PH2_CN2_TT2</v>
      </c>
    </row>
    <row r="48" spans="1:3" x14ac:dyDescent="0.35">
      <c r="A48" t="s">
        <v>828</v>
      </c>
      <c r="B48" t="str">
        <f>VLOOKUP(A48,PLCW!M:N,2,FALSE)</f>
        <v>Kiln</v>
      </c>
      <c r="C48" t="str">
        <f>VLOOKUP(A48,PLCW!O:P,2,FALSE)</f>
        <v>N-PLCW1-KL1-P-PV-PH_441PH2_CN4_PT1</v>
      </c>
    </row>
    <row r="49" spans="1:3" x14ac:dyDescent="0.35">
      <c r="A49" t="s">
        <v>1058</v>
      </c>
      <c r="B49" t="str">
        <f>VLOOKUP(A49,PLCW!M:N,2,FALSE)</f>
        <v>Kiln</v>
      </c>
      <c r="C49" t="str">
        <f>VLOOKUP(A49,PLCW!O:P,2,FALSE)</f>
        <v>N-PLCW1-KL1-T-PV-PH_441PH2_CN4_TT1</v>
      </c>
    </row>
    <row r="50" spans="1:3" x14ac:dyDescent="0.35">
      <c r="A50" t="s">
        <v>832</v>
      </c>
      <c r="B50" t="str">
        <f>VLOOKUP(A50,PLCW!M:N,2,FALSE)</f>
        <v>Kiln</v>
      </c>
      <c r="C50" t="str">
        <f>VLOOKUP(A50,PLCW!O:P,2,FALSE)</f>
        <v>N-PLCW1-KL1-P-PV-PH_441PH2_CN4_PT2</v>
      </c>
    </row>
    <row r="51" spans="1:3" x14ac:dyDescent="0.35">
      <c r="A51" t="s">
        <v>1063</v>
      </c>
      <c r="B51" t="str">
        <f>VLOOKUP(A51,PLCW!M:N,2,FALSE)</f>
        <v>Kiln</v>
      </c>
      <c r="C51" t="str">
        <f>VLOOKUP(A51,PLCW!O:P,2,FALSE)</f>
        <v>N-PLCW1-KL1-T-PV-PH_441PH2_CN4_TT2</v>
      </c>
    </row>
    <row r="52" spans="1:3" x14ac:dyDescent="0.35">
      <c r="A52" t="s">
        <v>846</v>
      </c>
      <c r="B52" t="str">
        <f>VLOOKUP(A52,PLCW!M:N,2,FALSE)</f>
        <v>Kiln</v>
      </c>
      <c r="C52" t="str">
        <f>VLOOKUP(A52,PLCW!O:P,2,FALSE)</f>
        <v>N-PLCW1-KL1-P-PV-PH_441PH2_CN6_PT1</v>
      </c>
    </row>
    <row r="53" spans="1:3" x14ac:dyDescent="0.35">
      <c r="A53" t="s">
        <v>1073</v>
      </c>
      <c r="B53" t="str">
        <f>VLOOKUP(A53,PLCW!M:N,2,FALSE)</f>
        <v>Kiln</v>
      </c>
      <c r="C53" t="str">
        <f>VLOOKUP(A53,PLCW!O:P,2,FALSE)</f>
        <v>N-PLCW1-KL1-T-PV-PH_441PH2_CN6_TT1</v>
      </c>
    </row>
    <row r="54" spans="1:3" x14ac:dyDescent="0.35">
      <c r="A54" t="s">
        <v>850</v>
      </c>
      <c r="B54" t="str">
        <f>VLOOKUP(A54,PLCW!M:N,2,FALSE)</f>
        <v>Kiln</v>
      </c>
      <c r="C54" t="str">
        <f>VLOOKUP(A54,PLCW!O:P,2,FALSE)</f>
        <v>N-PLCW1-KL1-P-PV-PH_441PH2_CN6_PT2</v>
      </c>
    </row>
    <row r="55" spans="1:3" x14ac:dyDescent="0.35">
      <c r="A55" t="s">
        <v>1078</v>
      </c>
      <c r="B55" t="str">
        <f>VLOOKUP(A55,PLCW!M:N,2,FALSE)</f>
        <v>Kiln</v>
      </c>
      <c r="C55" t="str">
        <f>VLOOKUP(A55,PLCW!O:P,2,FALSE)</f>
        <v>N-PLCW1-KL1-T-PV-PH_441PH2_CN6_TT2</v>
      </c>
    </row>
    <row r="56" spans="1:3" x14ac:dyDescent="0.35">
      <c r="A56" t="s">
        <v>819</v>
      </c>
      <c r="B56" t="str">
        <f>VLOOKUP(A56,PLCW!M:N,2,FALSE)</f>
        <v>Kiln</v>
      </c>
      <c r="C56" t="str">
        <f>VLOOKUP(A56,PLCW!O:P,2,FALSE)</f>
        <v>N-PLCW1-KL1-P-PV-PH_441PH2_CN3_PT1</v>
      </c>
    </row>
    <row r="57" spans="1:3" x14ac:dyDescent="0.35">
      <c r="A57" t="s">
        <v>1048</v>
      </c>
      <c r="B57" t="str">
        <f>VLOOKUP(A57,PLCW!M:N,2,FALSE)</f>
        <v>Kiln</v>
      </c>
      <c r="C57" t="str">
        <f>VLOOKUP(A57,PLCW!O:P,2,FALSE)</f>
        <v>N-PLCW1-KL1-T-PV-PH_441PH2_CN3_TT1</v>
      </c>
    </row>
    <row r="58" spans="1:3" x14ac:dyDescent="0.35">
      <c r="A58" t="s">
        <v>823</v>
      </c>
      <c r="B58" t="str">
        <f>VLOOKUP(A58,PLCW!M:N,2,FALSE)</f>
        <v>Kiln</v>
      </c>
      <c r="C58" t="str">
        <f>VLOOKUP(A58,PLCW!O:P,2,FALSE)</f>
        <v>N-PLCW1-KL1-P-PV-PH_441PH2_CN3_PT2</v>
      </c>
    </row>
    <row r="59" spans="1:3" x14ac:dyDescent="0.35">
      <c r="A59" t="s">
        <v>1053</v>
      </c>
      <c r="B59" t="str">
        <f>VLOOKUP(A59,PLCW!M:N,2,FALSE)</f>
        <v>Kiln</v>
      </c>
      <c r="C59" t="str">
        <f>VLOOKUP(A59,PLCW!O:P,2,FALSE)</f>
        <v>N-PLCW1-KL1-T-PV-PH_441PH2_CN3_TT2</v>
      </c>
    </row>
    <row r="60" spans="1:3" x14ac:dyDescent="0.35">
      <c r="A60" t="s">
        <v>837</v>
      </c>
      <c r="B60" t="str">
        <f>VLOOKUP(A60,PLCW!M:N,2,FALSE)</f>
        <v>Kiln</v>
      </c>
      <c r="C60" t="str">
        <f>VLOOKUP(A60,PLCW!O:P,2,FALSE)</f>
        <v>N-PLCW1-KL1-P-PV-PH_441PH2_CN5_PT1</v>
      </c>
    </row>
    <row r="61" spans="1:3" x14ac:dyDescent="0.35">
      <c r="A61" t="s">
        <v>1068</v>
      </c>
      <c r="B61" t="str">
        <f>VLOOKUP(A61,PLCW!M:N,2,FALSE)</f>
        <v>Kiln</v>
      </c>
      <c r="C61" t="str">
        <f>VLOOKUP(A61,PLCW!O:P,2,FALSE)</f>
        <v>N-PLCW1-KL1-T-PV-PH_441PH2_CN5_TT1</v>
      </c>
    </row>
    <row r="62" spans="1:3" x14ac:dyDescent="0.35">
      <c r="A62" t="s">
        <v>841</v>
      </c>
      <c r="B62" t="str">
        <f>VLOOKUP(A62,PLCW!M:N,2,FALSE)</f>
        <v>Kiln</v>
      </c>
      <c r="C62" t="str">
        <f>VLOOKUP(A62,PLCW!O:P,2,FALSE)</f>
        <v>N-PLCW1-KL1-P-PV-PH_441PH2_CN5_PT2</v>
      </c>
    </row>
    <row r="63" spans="1:3" x14ac:dyDescent="0.35">
      <c r="A63" t="s">
        <v>1807</v>
      </c>
      <c r="B63" t="e">
        <f>VLOOKUP(A63,PLCW!M:N,2,FALSE)</f>
        <v>#N/A</v>
      </c>
      <c r="C63" t="e">
        <f>VLOOKUP(A63,PLCW!O:P,2,FALSE)</f>
        <v>#N/A</v>
      </c>
    </row>
    <row r="64" spans="1:3" x14ac:dyDescent="0.35">
      <c r="A64" t="s">
        <v>1808</v>
      </c>
      <c r="B64" t="e">
        <f>VLOOKUP(A64,PLCW!M:N,2,FALSE)</f>
        <v>#N/A</v>
      </c>
      <c r="C64" t="e">
        <f>VLOOKUP(A64,PLCW!O:P,2,FALSE)</f>
        <v>#N/A</v>
      </c>
    </row>
    <row r="65" spans="1:3" x14ac:dyDescent="0.35">
      <c r="A65" t="s">
        <v>1809</v>
      </c>
      <c r="B65" t="e">
        <f>VLOOKUP(A65,PLCW!M:N,2,FALSE)</f>
        <v>#N/A</v>
      </c>
      <c r="C65" t="e">
        <f>VLOOKUP(A65,PLCW!O:P,2,FALSE)</f>
        <v>#N/A</v>
      </c>
    </row>
    <row r="66" spans="1:3" x14ac:dyDescent="0.35">
      <c r="A66" t="s">
        <v>1810</v>
      </c>
      <c r="B66" t="e">
        <f>VLOOKUP(A66,PLCW!M:N,2,FALSE)</f>
        <v>#N/A</v>
      </c>
      <c r="C66" t="e">
        <f>VLOOKUP(A66,PLCW!O:P,2,FALSE)</f>
        <v>#N/A</v>
      </c>
    </row>
    <row r="67" spans="1:3" x14ac:dyDescent="0.35">
      <c r="A67" t="s">
        <v>1811</v>
      </c>
      <c r="B67" t="e">
        <f>VLOOKUP(A67,PLCW!M:N,2,FALSE)</f>
        <v>#N/A</v>
      </c>
      <c r="C67" t="e">
        <f>VLOOKUP(A67,PLCW!O:P,2,FALSE)</f>
        <v>#N/A</v>
      </c>
    </row>
    <row r="68" spans="1:3" x14ac:dyDescent="0.35">
      <c r="A68" t="s">
        <v>1812</v>
      </c>
      <c r="B68" t="e">
        <f>VLOOKUP(A68,PLCW!M:N,2,FALSE)</f>
        <v>#N/A</v>
      </c>
      <c r="C68" t="e">
        <f>VLOOKUP(A68,PLCW!O:P,2,FALSE)</f>
        <v>#N/A</v>
      </c>
    </row>
    <row r="69" spans="1:3" x14ac:dyDescent="0.35">
      <c r="A69" t="s">
        <v>1813</v>
      </c>
      <c r="B69" t="e">
        <f>VLOOKUP(A69,PLCW!M:N,2,FALSE)</f>
        <v>#N/A</v>
      </c>
      <c r="C69" t="e">
        <f>VLOOKUP(A69,PLCW!O:P,2,FALSE)</f>
        <v>#N/A</v>
      </c>
    </row>
    <row r="70" spans="1:3" x14ac:dyDescent="0.35">
      <c r="A70" t="s">
        <v>1814</v>
      </c>
      <c r="B70" t="e">
        <f>VLOOKUP(A70,PLCW!M:N,2,FALSE)</f>
        <v>#N/A</v>
      </c>
      <c r="C70" t="e">
        <f>VLOOKUP(A70,PLCW!O:P,2,FALSE)</f>
        <v>#N/A</v>
      </c>
    </row>
    <row r="71" spans="1:3" x14ac:dyDescent="0.35">
      <c r="A71" t="s">
        <v>1815</v>
      </c>
      <c r="B71" t="e">
        <f>VLOOKUP(A71,PLCW!M:N,2,FALSE)</f>
        <v>#N/A</v>
      </c>
      <c r="C71" t="e">
        <f>VLOOKUP(A71,PLCW!O:P,2,FALSE)</f>
        <v>#N/A</v>
      </c>
    </row>
    <row r="72" spans="1:3" x14ac:dyDescent="0.35">
      <c r="A72" t="s">
        <v>1816</v>
      </c>
      <c r="B72" t="e">
        <f>VLOOKUP(A72,PLCW!M:N,2,FALSE)</f>
        <v>#N/A</v>
      </c>
      <c r="C72" t="e">
        <f>VLOOKUP(A72,PLCW!O:P,2,FALSE)</f>
        <v>#N/A</v>
      </c>
    </row>
    <row r="73" spans="1:3" x14ac:dyDescent="0.35">
      <c r="A73" t="s">
        <v>1817</v>
      </c>
      <c r="B73" t="e">
        <f>VLOOKUP(A73,PLCW!M:N,2,FALSE)</f>
        <v>#N/A</v>
      </c>
      <c r="C73" t="e">
        <f>VLOOKUP(A73,PLCW!O:P,2,FALSE)</f>
        <v>#N/A</v>
      </c>
    </row>
    <row r="74" spans="1:3" x14ac:dyDescent="0.35">
      <c r="A74" t="s">
        <v>1818</v>
      </c>
      <c r="B74" t="e">
        <f>VLOOKUP(A74,PLCW!M:N,2,FALSE)</f>
        <v>#N/A</v>
      </c>
      <c r="C74" t="e">
        <f>VLOOKUP(A74,PLCW!O:P,2,FALSE)</f>
        <v>#N/A</v>
      </c>
    </row>
    <row r="75" spans="1:3" x14ac:dyDescent="0.35">
      <c r="A75" t="s">
        <v>1819</v>
      </c>
      <c r="B75" t="e">
        <f>VLOOKUP(A75,PLCW!M:N,2,FALSE)</f>
        <v>#N/A</v>
      </c>
      <c r="C75" t="e">
        <f>VLOOKUP(A75,PLCW!O:P,2,FALSE)</f>
        <v>#N/A</v>
      </c>
    </row>
    <row r="76" spans="1:3" x14ac:dyDescent="0.35">
      <c r="A76" t="s">
        <v>1820</v>
      </c>
      <c r="B76" t="e">
        <f>VLOOKUP(A76,PLCW!M:N,2,FALSE)</f>
        <v>#N/A</v>
      </c>
      <c r="C76" t="e">
        <f>VLOOKUP(A76,PLCW!O:P,2,FALSE)</f>
        <v>#N/A</v>
      </c>
    </row>
    <row r="77" spans="1:3" x14ac:dyDescent="0.35">
      <c r="A77" t="s">
        <v>1821</v>
      </c>
      <c r="B77" t="e">
        <f>VLOOKUP(A77,PLCW!M:N,2,FALSE)</f>
        <v>#N/A</v>
      </c>
      <c r="C77" t="e">
        <f>VLOOKUP(A77,PLCW!O:P,2,FALSE)</f>
        <v>#N/A</v>
      </c>
    </row>
    <row r="78" spans="1:3" x14ac:dyDescent="0.35">
      <c r="A78" t="s">
        <v>1822</v>
      </c>
      <c r="B78" t="e">
        <f>VLOOKUP(A78,PLCW!M:N,2,FALSE)</f>
        <v>#N/A</v>
      </c>
      <c r="C78" t="e">
        <f>VLOOKUP(A78,PLCW!O:P,2,FALSE)</f>
        <v>#N/A</v>
      </c>
    </row>
    <row r="79" spans="1:3" x14ac:dyDescent="0.35">
      <c r="A79" t="s">
        <v>1823</v>
      </c>
      <c r="B79" t="e">
        <f>VLOOKUP(A79,PLCW!M:N,2,FALSE)</f>
        <v>#N/A</v>
      </c>
      <c r="C79" t="e">
        <f>VLOOKUP(A79,PLCW!O:P,2,FALSE)</f>
        <v>#N/A</v>
      </c>
    </row>
    <row r="80" spans="1:3" x14ac:dyDescent="0.35">
      <c r="A80" t="s">
        <v>1824</v>
      </c>
      <c r="B80" t="e">
        <f>VLOOKUP(A80,PLCW!M:N,2,FALSE)</f>
        <v>#N/A</v>
      </c>
      <c r="C80" t="e">
        <f>VLOOKUP(A80,PLCW!O:P,2,FALSE)</f>
        <v>#N/A</v>
      </c>
    </row>
    <row r="81" spans="1:3" x14ac:dyDescent="0.35">
      <c r="A81" t="s">
        <v>1825</v>
      </c>
      <c r="B81" t="e">
        <f>VLOOKUP(A81,PLCW!M:N,2,FALSE)</f>
        <v>#N/A</v>
      </c>
      <c r="C81" t="e">
        <f>VLOOKUP(A81,PLCW!O:P,2,FALSE)</f>
        <v>#N/A</v>
      </c>
    </row>
    <row r="82" spans="1:3" x14ac:dyDescent="0.35">
      <c r="A82" t="s">
        <v>86</v>
      </c>
      <c r="B82" t="e">
        <f>VLOOKUP(A82,PLCW!M:N,2,FALSE)</f>
        <v>#N/A</v>
      </c>
      <c r="C82" t="e">
        <f>VLOOKUP(A82,PLCW!O:P,2,FALSE)</f>
        <v>#N/A</v>
      </c>
    </row>
    <row r="83" spans="1:3" x14ac:dyDescent="0.35">
      <c r="A83" t="s">
        <v>637</v>
      </c>
      <c r="B83" t="str">
        <f>VLOOKUP(A83,PLCW!M:N,2,FALSE)</f>
        <v>Kiln</v>
      </c>
      <c r="C83" t="str">
        <f>VLOOKUP(A83,PLCW!O:P,2,FALSE)</f>
        <v>N-PLCW1-KL1-F-PV-PH_431DQ1_FR</v>
      </c>
    </row>
    <row r="84" spans="1:3" x14ac:dyDescent="0.35">
      <c r="A84" t="s">
        <v>1826</v>
      </c>
      <c r="B84" t="e">
        <f>VLOOKUP(A84,PLCW!M:N,2,FALSE)</f>
        <v>#N/A</v>
      </c>
      <c r="C84" t="e">
        <f>VLOOKUP(A84,PLCW!O:P,2,FALSE)</f>
        <v>#N/A</v>
      </c>
    </row>
    <row r="85" spans="1:3" x14ac:dyDescent="0.35">
      <c r="A85" t="s">
        <v>643</v>
      </c>
      <c r="B85" t="str">
        <f>VLOOKUP(A85,PLCW!M:N,2,FALSE)</f>
        <v>Kiln</v>
      </c>
      <c r="C85" t="str">
        <f>VLOOKUP(A85,PLCW!O:P,2,FALSE)</f>
        <v>N-PLCW1-KL1-F-PV-PH_431FM1_FR</v>
      </c>
    </row>
    <row r="86" spans="1:3" x14ac:dyDescent="0.35">
      <c r="A86" t="s">
        <v>876</v>
      </c>
      <c r="B86" t="str">
        <f>VLOOKUP(A86,PLCW!M:N,2,FALSE)</f>
        <v>Kiln</v>
      </c>
      <c r="C86" t="str">
        <f>VLOOKUP(A86,PLCW!O:P,2,FALSE)</f>
        <v>N-PLCW1-KL1-R-PV-KL_481BL1_SI</v>
      </c>
    </row>
    <row r="87" spans="1:3" x14ac:dyDescent="0.35">
      <c r="A87" t="s">
        <v>882</v>
      </c>
      <c r="B87" t="str">
        <f>VLOOKUP(A87,PLCW!M:N,2,FALSE)</f>
        <v>Kiln</v>
      </c>
      <c r="C87" t="str">
        <f>VLOOKUP(A87,PLCW!O:P,2,FALSE)</f>
        <v>N-PLCW1-KL1-R-PV-KL_481BL2_SI</v>
      </c>
    </row>
    <row r="88" spans="1:3" x14ac:dyDescent="0.35">
      <c r="A88" t="s">
        <v>892</v>
      </c>
      <c r="B88" t="str">
        <f>VLOOKUP(A88,PLCW!M:N,2,FALSE)</f>
        <v>Kiln</v>
      </c>
      <c r="C88" t="str">
        <f>VLOOKUP(A88,PLCW!O:P,2,FALSE)</f>
        <v>N-PLCW1-KL1-R-PV-KL_481BL4_SI</v>
      </c>
    </row>
    <row r="89" spans="1:3" x14ac:dyDescent="0.35">
      <c r="A89" t="s">
        <v>887</v>
      </c>
      <c r="B89" t="str">
        <f>VLOOKUP(A89,PLCW!M:N,2,FALSE)</f>
        <v>Kiln</v>
      </c>
      <c r="C89" t="str">
        <f>VLOOKUP(A89,PLCW!O:P,2,FALSE)</f>
        <v>N-PLCW1-KL1-R-PV-KL_481BL3_SI</v>
      </c>
    </row>
    <row r="90" spans="1:3" x14ac:dyDescent="0.35">
      <c r="A90" t="s">
        <v>923</v>
      </c>
      <c r="B90" t="str">
        <f>VLOOKUP(A90,PLCW!M:N,2,FALSE)</f>
        <v>Kiln</v>
      </c>
      <c r="C90" t="str">
        <f>VLOOKUP(A90,PLCW!O:P,2,FALSE)</f>
        <v>N-PLCW1-KL1-T-PV-KL_461DU1_TT1</v>
      </c>
    </row>
    <row r="91" spans="1:3" x14ac:dyDescent="0.35">
      <c r="A91" t="s">
        <v>688</v>
      </c>
      <c r="B91" t="str">
        <f>VLOOKUP(A91,PLCW!M:N,2,FALSE)</f>
        <v>Kiln</v>
      </c>
      <c r="C91" t="str">
        <f>VLOOKUP(A91,PLCW!O:P,2,FALSE)</f>
        <v>N-PLCW1-KL1-P-PV-KL_461DU1_PT1</v>
      </c>
    </row>
    <row r="92" spans="1:3" x14ac:dyDescent="0.35">
      <c r="A92" t="s">
        <v>928</v>
      </c>
      <c r="B92" t="str">
        <f>VLOOKUP(A92,PLCW!M:N,2,FALSE)</f>
        <v>Kiln</v>
      </c>
      <c r="C92" t="str">
        <f>VLOOKUP(A92,PLCW!O:P,2,FALSE)</f>
        <v>N-PLCW1-KL1-T-PV-KL_461DU1_TT2</v>
      </c>
    </row>
    <row r="93" spans="1:3" x14ac:dyDescent="0.35">
      <c r="A93" t="s">
        <v>694</v>
      </c>
      <c r="B93" t="str">
        <f>VLOOKUP(A93,PLCW!M:N,2,FALSE)</f>
        <v>Kiln</v>
      </c>
      <c r="C93" t="str">
        <f>VLOOKUP(A93,PLCW!O:P,2,FALSE)</f>
        <v>N-PLCW1-KL1-P-PV-KL_461DU1_PT2</v>
      </c>
    </row>
    <row r="94" spans="1:3" x14ac:dyDescent="0.35">
      <c r="A94" t="s">
        <v>712</v>
      </c>
      <c r="B94" t="str">
        <f>VLOOKUP(A94,PLCW!M:N,2,FALSE)</f>
        <v>Kiln</v>
      </c>
      <c r="C94" t="str">
        <f>VLOOKUP(A94,PLCW!O:P,2,FALSE)</f>
        <v>N-PLCW1-KL1-P-PV-PH_441DU1_PT</v>
      </c>
    </row>
    <row r="95" spans="1:3" x14ac:dyDescent="0.35">
      <c r="A95" t="s">
        <v>943</v>
      </c>
      <c r="B95" t="str">
        <f>VLOOKUP(A95,PLCW!M:N,2,FALSE)</f>
        <v>Kiln</v>
      </c>
      <c r="C95" t="str">
        <f>VLOOKUP(A95,PLCW!O:P,2,FALSE)</f>
        <v>N-PLCW1-KL1-T-PV-PH_441DU1_TT</v>
      </c>
    </row>
    <row r="96" spans="1:3" x14ac:dyDescent="0.35">
      <c r="A96" t="s">
        <v>1827</v>
      </c>
      <c r="B96" t="e">
        <f>VLOOKUP(A96,PLCW!M:N,2,FALSE)</f>
        <v>#N/A</v>
      </c>
      <c r="C96" t="e">
        <f>VLOOKUP(A96,PLCW!O:P,2,FALSE)</f>
        <v>#N/A</v>
      </c>
    </row>
    <row r="97" spans="1:3" x14ac:dyDescent="0.35">
      <c r="A97" t="s">
        <v>55</v>
      </c>
      <c r="B97" t="e">
        <f>VLOOKUP(A97,PLCW!M:N,2,FALSE)</f>
        <v>#N/A</v>
      </c>
      <c r="C97" t="e">
        <f>VLOOKUP(A97,PLCW!O:P,2,FALSE)</f>
        <v>#N/A</v>
      </c>
    </row>
    <row r="98" spans="1:3" x14ac:dyDescent="0.35">
      <c r="A98" t="s">
        <v>215</v>
      </c>
      <c r="B98" t="str">
        <f>VLOOKUP(A98,PLCW!M:N,2,FALSE)</f>
        <v>Raw Mill</v>
      </c>
      <c r="C98" t="str">
        <f>VLOOKUP(A98,PLCW!O:P,2,FALSE)</f>
        <v>N-PLCW1-RM1-P-FSP-PH_421FN1_SPSPA</v>
      </c>
    </row>
    <row r="99" spans="1:3" x14ac:dyDescent="0.35">
      <c r="A99" t="s">
        <v>227</v>
      </c>
      <c r="B99" t="str">
        <f>VLOOKUP(A99,PLCW!M:N,2,FALSE)</f>
        <v>Raw Mill</v>
      </c>
      <c r="C99" t="str">
        <f>VLOOKUP(A99,PLCW!O:P,2,FALSE)</f>
        <v>N-PLCW1-RM1-P-PV-PH_441FN1_PT02</v>
      </c>
    </row>
    <row r="100" spans="1:3" x14ac:dyDescent="0.35">
      <c r="A100" t="s">
        <v>1828</v>
      </c>
      <c r="B100" t="e">
        <f>VLOOKUP(A100,PLCW!M:N,2,FALSE)</f>
        <v>#N/A</v>
      </c>
      <c r="C100" t="e">
        <f>VLOOKUP(A100,PLCW!O:P,2,FALSE)</f>
        <v>#N/A</v>
      </c>
    </row>
    <row r="101" spans="1:3" x14ac:dyDescent="0.35">
      <c r="A101" t="s">
        <v>287</v>
      </c>
      <c r="B101" t="str">
        <f>VLOOKUP(A101,PLCW!M:N,2,FALSE)</f>
        <v>Raw Mill</v>
      </c>
      <c r="C101" t="str">
        <f>VLOOKUP(A101,PLCW!O:P,2,FALSE)</f>
        <v>N-PLCW1-RM1-R-PV-PH_421FN1_SPSPM</v>
      </c>
    </row>
    <row r="102" spans="1:3" x14ac:dyDescent="0.35">
      <c r="A102" t="s">
        <v>1829</v>
      </c>
      <c r="B102" t="e">
        <f>VLOOKUP(A102,PLCW!M:N,2,FALSE)</f>
        <v>#N/A</v>
      </c>
      <c r="C102" t="e">
        <f>VLOOKUP(A102,PLCW!O:P,2,FALSE)</f>
        <v>#N/A</v>
      </c>
    </row>
    <row r="103" spans="1:3" x14ac:dyDescent="0.35">
      <c r="A103" t="s">
        <v>671</v>
      </c>
      <c r="B103" t="str">
        <f>VLOOKUP(A103,PLCW!M:N,2,FALSE)</f>
        <v>Kiln</v>
      </c>
      <c r="C103" t="str">
        <f>VLOOKUP(A103,PLCW!O:P,2,FALSE)</f>
        <v>N-PLCW1-KL1-J-PV-PH_421FN1_JI</v>
      </c>
    </row>
    <row r="104" spans="1:3" x14ac:dyDescent="0.35">
      <c r="A104" t="s">
        <v>1830</v>
      </c>
      <c r="B104" t="e">
        <f>VLOOKUP(A104,PLCW!M:N,2,FALSE)</f>
        <v>#N/A</v>
      </c>
      <c r="C104" t="e">
        <f>VLOOKUP(A104,PLCW!O:P,2,FALSE)</f>
        <v>#N/A</v>
      </c>
    </row>
    <row r="105" spans="1:3" x14ac:dyDescent="0.35">
      <c r="A105" t="s">
        <v>897</v>
      </c>
      <c r="B105" t="str">
        <f>VLOOKUP(A105,PLCW!M:N,2,FALSE)</f>
        <v>Kiln</v>
      </c>
      <c r="C105" t="str">
        <f>VLOOKUP(A105,PLCW!O:P,2,FALSE)</f>
        <v>N-PLCW1-KL1-R-PV-PH_421FN1_S1</v>
      </c>
    </row>
    <row r="106" spans="1:3" x14ac:dyDescent="0.35">
      <c r="A106" t="s">
        <v>1831</v>
      </c>
      <c r="B106" t="e">
        <f>VLOOKUP(A106,PLCW!M:N,2,FALSE)</f>
        <v>#N/A</v>
      </c>
      <c r="C106" t="e">
        <f>VLOOKUP(A106,PLCW!O:P,2,FALSE)</f>
        <v>#N/A</v>
      </c>
    </row>
    <row r="107" spans="1:3" x14ac:dyDescent="0.35">
      <c r="A107" t="s">
        <v>221</v>
      </c>
      <c r="B107" t="str">
        <f>VLOOKUP(A107,PLCW!M:N,2,FALSE)</f>
        <v>Raw Mill</v>
      </c>
      <c r="C107" t="str">
        <f>VLOOKUP(A107,PLCW!O:P,2,FALSE)</f>
        <v>N-PLCW1-RM1-P-PV-PH_421BF1_DPT</v>
      </c>
    </row>
    <row r="108" spans="1:3" x14ac:dyDescent="0.35">
      <c r="A108" t="s">
        <v>1832</v>
      </c>
      <c r="B108" t="e">
        <f>VLOOKUP(A108,PLCW!M:N,2,FALSE)</f>
        <v>#N/A</v>
      </c>
      <c r="C108" t="e">
        <f>VLOOKUP(A108,PLCW!O:P,2,FALSE)</f>
        <v>#N/A</v>
      </c>
    </row>
    <row r="109" spans="1:3" x14ac:dyDescent="0.35">
      <c r="A109" t="s">
        <v>706</v>
      </c>
      <c r="B109" t="str">
        <f>VLOOKUP(A109,PLCW!M:N,2,FALSE)</f>
        <v>Kiln</v>
      </c>
      <c r="C109" t="str">
        <f>VLOOKUP(A109,PLCW!O:P,2,FALSE)</f>
        <v>N-PLCW1-KL1-P-PV-PH_421BF1_PT4</v>
      </c>
    </row>
    <row r="110" spans="1:3" x14ac:dyDescent="0.35">
      <c r="A110" t="s">
        <v>902</v>
      </c>
      <c r="B110" t="str">
        <f>VLOOKUP(A110,PLCW!M:N,2,FALSE)</f>
        <v>Kiln</v>
      </c>
      <c r="C110" t="str">
        <f>VLOOKUP(A110,PLCW!O:P,2,FALSE)</f>
        <v>N-PLCW1-KL1-R-PV-PH_441FN1_SI</v>
      </c>
    </row>
    <row r="111" spans="1:3" x14ac:dyDescent="0.35">
      <c r="A111" t="s">
        <v>866</v>
      </c>
      <c r="B111" t="str">
        <f>VLOOKUP(A111,PLCW!M:N,2,FALSE)</f>
        <v>Kiln</v>
      </c>
      <c r="C111" t="str">
        <f>VLOOKUP(A111,PLCW!O:P,2,FALSE)</f>
        <v>N-PLCW1-KL1-R-FSP-PH_441FN1_SPSPM</v>
      </c>
    </row>
    <row r="112" spans="1:3" x14ac:dyDescent="0.35">
      <c r="A112" t="s">
        <v>665</v>
      </c>
      <c r="B112" t="str">
        <f>VLOOKUP(A112,PLCW!M:N,2,FALSE)</f>
        <v>Kiln</v>
      </c>
      <c r="C112" t="str">
        <f>VLOOKUP(A112,PLCW!O:P,2,FALSE)</f>
        <v>N-PLCW1-KL1-I-PV-PH_441FN1_II</v>
      </c>
    </row>
    <row r="113" spans="1:3" x14ac:dyDescent="0.35">
      <c r="A113" t="s">
        <v>677</v>
      </c>
      <c r="B113" t="str">
        <f>VLOOKUP(A113,PLCW!M:N,2,FALSE)</f>
        <v>Kiln</v>
      </c>
      <c r="C113" t="str">
        <f>VLOOKUP(A113,PLCW!O:P,2,FALSE)</f>
        <v>N-PLCW1-KL1-J-PV-PH_441FN1_JI</v>
      </c>
    </row>
    <row r="114" spans="1:3" x14ac:dyDescent="0.35">
      <c r="A114" t="s">
        <v>724</v>
      </c>
      <c r="B114" t="str">
        <f>VLOOKUP(A114,PLCW!M:N,2,FALSE)</f>
        <v>Kiln</v>
      </c>
      <c r="C114" t="str">
        <f>VLOOKUP(A114,PLCW!O:P,2,FALSE)</f>
        <v>N-PLCW1-KL1-P-PV-PH_441FN1_PT02_B</v>
      </c>
    </row>
    <row r="115" spans="1:3" x14ac:dyDescent="0.35">
      <c r="A115" t="s">
        <v>948</v>
      </c>
      <c r="B115" t="str">
        <f>VLOOKUP(A115,PLCW!M:N,2,FALSE)</f>
        <v>Kiln</v>
      </c>
      <c r="C115" t="str">
        <f>VLOOKUP(A115,PLCW!O:P,2,FALSE)</f>
        <v>N-PLCW1-KL1-T-PV-PH_441FN1_TT01</v>
      </c>
    </row>
    <row r="116" spans="1:3" x14ac:dyDescent="0.35">
      <c r="A116" t="s">
        <v>718</v>
      </c>
      <c r="B116" t="str">
        <f>VLOOKUP(A116,PLCW!M:N,2,FALSE)</f>
        <v>Kiln</v>
      </c>
      <c r="C116" t="str">
        <f>VLOOKUP(A116,PLCW!O:P,2,FALSE)</f>
        <v>N-PLCW1-KL1-P-PV-PH_441FN1_PT01</v>
      </c>
    </row>
    <row r="117" spans="1:3" x14ac:dyDescent="0.35">
      <c r="A117" t="s">
        <v>855</v>
      </c>
      <c r="B117" t="str">
        <f>VLOOKUP(A117,PLCW!M:N,2,FALSE)</f>
        <v>Kiln</v>
      </c>
      <c r="C117" t="str">
        <f>VLOOKUP(A117,PLCW!O:P,2,FALSE)</f>
        <v>N-PLCW1-KL1-P-PV-PH_451PR1_PT4</v>
      </c>
    </row>
    <row r="118" spans="1:3" x14ac:dyDescent="0.35">
      <c r="A118" t="s">
        <v>1088</v>
      </c>
      <c r="B118" t="str">
        <f>VLOOKUP(A118,PLCW!M:N,2,FALSE)</f>
        <v>Kiln</v>
      </c>
      <c r="C118" t="str">
        <f>VLOOKUP(A118,PLCW!O:P,2,FALSE)</f>
        <v>N-PLCW1-KL1-T-PV-PH_451PR1_TT5</v>
      </c>
    </row>
    <row r="119" spans="1:3" x14ac:dyDescent="0.35">
      <c r="A119" t="s">
        <v>1083</v>
      </c>
      <c r="B119" t="str">
        <f>VLOOKUP(A119,PLCW!M:N,2,FALSE)</f>
        <v>Kiln</v>
      </c>
      <c r="C119" t="str">
        <f>VLOOKUP(A119,PLCW!O:P,2,FALSE)</f>
        <v>N-PLCW1-KL1-T-PV-PH_451PR1_TT1</v>
      </c>
    </row>
    <row r="120" spans="1:3" x14ac:dyDescent="0.35">
      <c r="A120" t="s">
        <v>861</v>
      </c>
      <c r="B120" t="str">
        <f>VLOOKUP(A120,PLCW!M:N,2,FALSE)</f>
        <v>Kiln</v>
      </c>
      <c r="C120" t="str">
        <f>VLOOKUP(A120,PLCW!O:P,2,FALSE)</f>
        <v>N-PLCW1-KL1-P-PV-PH_461KL1_PT1</v>
      </c>
    </row>
    <row r="121" spans="1:3" x14ac:dyDescent="0.35">
      <c r="A121" t="s">
        <v>1833</v>
      </c>
      <c r="B121" t="e">
        <f>VLOOKUP(A121,PLCW!M:N,2,FALSE)</f>
        <v>#N/A</v>
      </c>
      <c r="C121" t="e">
        <f>VLOOKUP(A121,PLCW!O:P,2,FALSE)</f>
        <v>#N/A</v>
      </c>
    </row>
    <row r="122" spans="1:3" x14ac:dyDescent="0.35">
      <c r="A122" t="s">
        <v>648</v>
      </c>
      <c r="B122" t="str">
        <f>VLOOKUP(A122,PLCW!M:N,2,FALSE)</f>
        <v>Kiln</v>
      </c>
      <c r="C122" t="str">
        <f>VLOOKUP(A122,PLCW!O:P,2,FALSE)</f>
        <v>N-PLCW1-KL1-F-PV-TOTALFEED</v>
      </c>
    </row>
    <row r="123" spans="1:3" x14ac:dyDescent="0.35">
      <c r="A123" t="s">
        <v>683</v>
      </c>
      <c r="B123" t="str">
        <f>VLOOKUP(A123,PLCW!M:N,2,FALSE)</f>
        <v>Kiln</v>
      </c>
      <c r="C123" t="str">
        <f>VLOOKUP(A123,PLCW!O:P,2,FALSE)</f>
        <v>N-PLCW1-KL1-L-PV-KL_461KL_FILL</v>
      </c>
    </row>
    <row r="124" spans="1:3" x14ac:dyDescent="0.35">
      <c r="A124" t="s">
        <v>699</v>
      </c>
      <c r="B124" t="str">
        <f>VLOOKUP(A124,PLCW!M:N,2,FALSE)</f>
        <v>Kiln</v>
      </c>
      <c r="C124" t="str">
        <f>VLOOKUP(A124,PLCW!O:P,2,FALSE)</f>
        <v>N-PLCW1-KL1-P-PV-KL_461KL1_PT3</v>
      </c>
    </row>
    <row r="125" spans="1:3" x14ac:dyDescent="0.35">
      <c r="A125" t="s">
        <v>933</v>
      </c>
      <c r="B125" t="str">
        <f>VLOOKUP(A125,PLCW!M:N,2,FALSE)</f>
        <v>Kiln</v>
      </c>
      <c r="C125" t="str">
        <f>VLOOKUP(A125,PLCW!O:P,2,FALSE)</f>
        <v>N-PLCW1-KL1-T-PV-KL_461KL1_TT4</v>
      </c>
    </row>
    <row r="126" spans="1:3" x14ac:dyDescent="0.35">
      <c r="A126" t="s">
        <v>871</v>
      </c>
      <c r="B126" t="str">
        <f>VLOOKUP(A126,PLCW!M:N,2,FALSE)</f>
        <v>Kiln</v>
      </c>
      <c r="C126" t="str">
        <f>VLOOKUP(A126,PLCW!O:P,2,FALSE)</f>
        <v>N-PLCW1-KL1-R-PV-KL_461MD1SI_B</v>
      </c>
    </row>
    <row r="127" spans="1:3" x14ac:dyDescent="0.35">
      <c r="A127" t="s">
        <v>1093</v>
      </c>
      <c r="B127" t="str">
        <f>VLOOKUP(A127,PLCW!M:N,2,FALSE)</f>
        <v>Kiln</v>
      </c>
      <c r="C127" t="str">
        <f>VLOOKUP(A127,PLCW!O:P,2,FALSE)</f>
        <v>N-PLCW1-KL1-T-PV-PH_461KL1_TT1</v>
      </c>
    </row>
    <row r="128" spans="1:3" x14ac:dyDescent="0.35">
      <c r="A128" t="s">
        <v>1834</v>
      </c>
      <c r="B128" t="e">
        <f>VLOOKUP(A128,PLCW!M:N,2,FALSE)</f>
        <v>#N/A</v>
      </c>
      <c r="C128" t="e">
        <f>VLOOKUP(A128,PLCW!O:P,2,FALSE)</f>
        <v>#N/A</v>
      </c>
    </row>
    <row r="129" spans="1:3" x14ac:dyDescent="0.35">
      <c r="A129" t="s">
        <v>654</v>
      </c>
      <c r="B129" t="str">
        <f>VLOOKUP(A129,PLCW!M:N,2,FALSE)</f>
        <v>Kiln</v>
      </c>
      <c r="C129" t="str">
        <f>VLOOKUP(A129,PLCW!O:P,2,FALSE)</f>
        <v>N-PLCW1-KL1-I-PV-PH_431BE1_M01II_B</v>
      </c>
    </row>
    <row r="130" spans="1:3" x14ac:dyDescent="0.35">
      <c r="A130" t="s">
        <v>1835</v>
      </c>
      <c r="B130" t="e">
        <f>VLOOKUP(A130,PLCW!M:N,2,FALSE)</f>
        <v>#N/A</v>
      </c>
      <c r="C130" t="e">
        <f>VLOOKUP(A130,PLCW!O:P,2,FALSE)</f>
        <v>#N/A</v>
      </c>
    </row>
    <row r="131" spans="1:3" x14ac:dyDescent="0.35">
      <c r="A131" t="s">
        <v>660</v>
      </c>
      <c r="B131" t="str">
        <f>VLOOKUP(A131,PLCW!M:N,2,FALSE)</f>
        <v>Kiln</v>
      </c>
      <c r="C131" t="str">
        <f>VLOOKUP(A131,PLCW!O:P,2,FALSE)</f>
        <v>N-PLCW1-KL1-I-PV-PH_431BE1_M02II_B</v>
      </c>
    </row>
    <row r="132" spans="1:3" x14ac:dyDescent="0.35">
      <c r="A132" t="s">
        <v>1836</v>
      </c>
      <c r="B132" t="e">
        <f>VLOOKUP(A132,PLCW!M:N,2,FALSE)</f>
        <v>#N/A</v>
      </c>
      <c r="C132" t="e">
        <f>VLOOKUP(A132,PLCW!O:P,2,FALSE)</f>
        <v>#N/A</v>
      </c>
    </row>
    <row r="133" spans="1:3" x14ac:dyDescent="0.35">
      <c r="A133" t="s">
        <v>631</v>
      </c>
      <c r="B133" t="str">
        <f>VLOOKUP(A133,PLCW!M:N,2,FALSE)</f>
        <v>Kiln</v>
      </c>
      <c r="C133" t="str">
        <f>VLOOKUP(A133,PLCW!O:P,2,FALSE)</f>
        <v>N-PLCW1-KL1-F-PV-KL_481DQ1_FR</v>
      </c>
    </row>
    <row r="134" spans="1:3" x14ac:dyDescent="0.35">
      <c r="A134" t="s">
        <v>1837</v>
      </c>
      <c r="B134" t="e">
        <f>VLOOKUP(A134,PLCW!M:N,2,FALSE)</f>
        <v>#N/A</v>
      </c>
      <c r="C134" t="e">
        <f>VLOOKUP(A134,PLCW!O:P,2,FALSE)</f>
        <v>#N/A</v>
      </c>
    </row>
    <row r="135" spans="1:3" x14ac:dyDescent="0.35">
      <c r="A135" t="s">
        <v>912</v>
      </c>
      <c r="B135" t="str">
        <f>VLOOKUP(A135,PLCW!M:N,2,FALSE)</f>
        <v>Kiln</v>
      </c>
      <c r="C135" t="str">
        <f>VLOOKUP(A135,PLCW!O:P,2,FALSE)</f>
        <v>N-PLCW1-KL1-T-FSP-KL_451DQ1_SPSPA</v>
      </c>
    </row>
    <row r="136" spans="1:3" x14ac:dyDescent="0.35">
      <c r="A136" t="s">
        <v>938</v>
      </c>
      <c r="B136" t="str">
        <f>VLOOKUP(A136,PLCW!M:N,2,FALSE)</f>
        <v>Kiln</v>
      </c>
      <c r="C136" t="str">
        <f>VLOOKUP(A136,PLCW!O:P,2,FALSE)</f>
        <v>N-PLCW1-KL1-T-PV-KL_PCOL_TEMP</v>
      </c>
    </row>
    <row r="137" spans="1:3" x14ac:dyDescent="0.35">
      <c r="A137" t="s">
        <v>620</v>
      </c>
      <c r="B137" t="str">
        <f>VLOOKUP(A137,PLCW!M:N,2,FALSE)</f>
        <v>Kiln</v>
      </c>
      <c r="C137" t="str">
        <f>VLOOKUP(A137,PLCW!O:P,2,FALSE)</f>
        <v>N-PLCW1-KL1-F-FSP-KL_451DQ1_SPSPM</v>
      </c>
    </row>
    <row r="138" spans="1:3" x14ac:dyDescent="0.35">
      <c r="A138" t="s">
        <v>918</v>
      </c>
      <c r="B138" t="str">
        <f>VLOOKUP(A138,PLCW!M:N,2,FALSE)</f>
        <v>Kiln</v>
      </c>
      <c r="C138" t="str">
        <f>VLOOKUP(A138,PLCW!O:P,2,FALSE)</f>
        <v>N-PLCW1-KL1-T-FSP-KL_451DQ2_SPSPA</v>
      </c>
    </row>
    <row r="139" spans="1:3" x14ac:dyDescent="0.35">
      <c r="A139" t="s">
        <v>626</v>
      </c>
      <c r="B139" t="str">
        <f>VLOOKUP(A139,PLCW!M:N,2,FALSE)</f>
        <v>Kiln</v>
      </c>
      <c r="C139" t="str">
        <f>VLOOKUP(A139,PLCW!O:P,2,FALSE)</f>
        <v>N-PLCW1-KL1-F-FSP-KL_451DQ2_SPSPM</v>
      </c>
    </row>
    <row r="140" spans="1:3" x14ac:dyDescent="0.35">
      <c r="A140" t="s">
        <v>1838</v>
      </c>
      <c r="B140" t="e">
        <f>VLOOKUP(A140,PLCW!M:N,2,FALSE)</f>
        <v>#N/A</v>
      </c>
      <c r="C140" t="e">
        <f>VLOOKUP(A140,PLCW!O:P,2,FALSE)</f>
        <v>#N/A</v>
      </c>
    </row>
    <row r="141" spans="1:3" x14ac:dyDescent="0.35">
      <c r="A141" t="s">
        <v>1839</v>
      </c>
      <c r="B141" t="e">
        <f>VLOOKUP(A141,PLCW!M:N,2,FALSE)</f>
        <v>#N/A</v>
      </c>
      <c r="C141" t="e">
        <f>VLOOKUP(A141,PLCW!O:P,2,FALSE)</f>
        <v>#N/A</v>
      </c>
    </row>
    <row r="142" spans="1:3" x14ac:dyDescent="0.35">
      <c r="A142" t="s">
        <v>1840</v>
      </c>
      <c r="B142" t="e">
        <f>VLOOKUP(A142,PLCW!M:N,2,FALSE)</f>
        <v>#N/A</v>
      </c>
      <c r="C142" t="e">
        <f>VLOOKUP(A142,PLCW!O:P,2,FALSE)</f>
        <v>#N/A</v>
      </c>
    </row>
    <row r="143" spans="1:3" x14ac:dyDescent="0.35">
      <c r="A143" t="s">
        <v>1841</v>
      </c>
      <c r="B143" t="e">
        <f>VLOOKUP(A143,PLCW!M:N,2,FALSE)</f>
        <v>#N/A</v>
      </c>
      <c r="C143" t="e">
        <f>VLOOKUP(A143,PLCW!O:P,2,FALSE)</f>
        <v>#N/A</v>
      </c>
    </row>
    <row r="144" spans="1:3" x14ac:dyDescent="0.35">
      <c r="A144" t="s">
        <v>1842</v>
      </c>
      <c r="B144" t="e">
        <f>VLOOKUP(A144,PLCW!M:N,2,FALSE)</f>
        <v>#N/A</v>
      </c>
      <c r="C144" t="e">
        <f>VLOOKUP(A144,PLCW!O:P,2,FALSE)</f>
        <v>#N/A</v>
      </c>
    </row>
    <row r="145" spans="1:3" x14ac:dyDescent="0.35">
      <c r="A145" t="s">
        <v>1843</v>
      </c>
      <c r="B145" t="e">
        <f>VLOOKUP(A145,PLCW!M:N,2,FALSE)</f>
        <v>#N/A</v>
      </c>
      <c r="C145" t="e">
        <f>VLOOKUP(A145,PLCW!O:P,2,FALSE)</f>
        <v>#N/A</v>
      </c>
    </row>
    <row r="146" spans="1:3" x14ac:dyDescent="0.35">
      <c r="A146" t="s">
        <v>1844</v>
      </c>
      <c r="B146" t="e">
        <f>VLOOKUP(A146,PLCW!M:N,2,FALSE)</f>
        <v>#N/A</v>
      </c>
      <c r="C146" t="e">
        <f>VLOOKUP(A146,PLCW!O:P,2,FALSE)</f>
        <v>#N/A</v>
      </c>
    </row>
    <row r="147" spans="1:3" x14ac:dyDescent="0.35">
      <c r="A147" t="s">
        <v>1845</v>
      </c>
      <c r="B147" t="e">
        <f>VLOOKUP(A147,PLCW!M:N,2,FALSE)</f>
        <v>#N/A</v>
      </c>
      <c r="C147" t="e">
        <f>VLOOKUP(A147,PLCW!O:P,2,FALSE)</f>
        <v>#N/A</v>
      </c>
    </row>
    <row r="148" spans="1:3" x14ac:dyDescent="0.35">
      <c r="A148" t="s">
        <v>1846</v>
      </c>
      <c r="B148" t="e">
        <f>VLOOKUP(A148,PLCW!M:N,2,FALSE)</f>
        <v>#N/A</v>
      </c>
      <c r="C148" t="e">
        <f>VLOOKUP(A148,PLCW!O:P,2,FALSE)</f>
        <v>#N/A</v>
      </c>
    </row>
  </sheetData>
  <autoFilter ref="A1:C148" xr:uid="{54FDA79C-8D88-4B06-96DE-CFB277B05474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35DCA-0A71-488D-8810-D770ACBAE168}">
  <dimension ref="A1:C78"/>
  <sheetViews>
    <sheetView workbookViewId="0">
      <selection activeCell="E17" sqref="E17"/>
    </sheetView>
  </sheetViews>
  <sheetFormatPr defaultRowHeight="14.5" x14ac:dyDescent="0.35"/>
  <cols>
    <col min="1" max="1" width="29.81640625" customWidth="1"/>
    <col min="2" max="2" width="15.54296875" customWidth="1"/>
    <col min="3" max="3" width="19.26953125" customWidth="1"/>
  </cols>
  <sheetData>
    <row r="1" spans="1:3" x14ac:dyDescent="0.35">
      <c r="A1" t="s">
        <v>1847</v>
      </c>
      <c r="B1" t="s">
        <v>5</v>
      </c>
      <c r="C1" t="s">
        <v>13</v>
      </c>
    </row>
    <row r="2" spans="1:3" x14ac:dyDescent="0.35">
      <c r="A2" t="s">
        <v>59</v>
      </c>
      <c r="B2" t="str">
        <f>VLOOKUP(A2,PLCW!M:N,2,FALSE)</f>
        <v>Raw Mill</v>
      </c>
      <c r="C2" t="str">
        <f>VLOOKUP(A2,PLCW!O:P,2,FALSE)</f>
        <v>N-PLCW1-RM1-F-FSP-RM1_331WF1_FBAI01</v>
      </c>
    </row>
    <row r="3" spans="1:3" x14ac:dyDescent="0.35">
      <c r="A3" t="s">
        <v>67</v>
      </c>
      <c r="B3" t="str">
        <f>VLOOKUP(A3,PLCW!M:N,2,FALSE)</f>
        <v>Raw Mill</v>
      </c>
      <c r="C3" t="str">
        <f>VLOOKUP(A3,PLCW!O:P,2,FALSE)</f>
        <v>N-PLCW1-RM1-F-FSP-RM1_331WF2_FBAI02</v>
      </c>
    </row>
    <row r="4" spans="1:3" x14ac:dyDescent="0.35">
      <c r="A4" t="s">
        <v>72</v>
      </c>
      <c r="B4" t="str">
        <f>VLOOKUP(A4,PLCW!M:N,2,FALSE)</f>
        <v>Raw Mill</v>
      </c>
      <c r="C4" t="str">
        <f>VLOOKUP(A4,PLCW!O:P,2,FALSE)</f>
        <v>N-PLCW1-RM1-F-FSP-RM1_331WF3_FBAI03</v>
      </c>
    </row>
    <row r="5" spans="1:3" x14ac:dyDescent="0.35">
      <c r="A5" t="s">
        <v>77</v>
      </c>
      <c r="B5" t="str">
        <f>VLOOKUP(A5,PLCW!M:N,2,FALSE)</f>
        <v>Raw Mill</v>
      </c>
      <c r="C5" t="str">
        <f>VLOOKUP(A5,PLCW!O:P,2,FALSE)</f>
        <v>N-PLCW1-RM1-F-FSP-RM1_331WF4_FBAI04</v>
      </c>
    </row>
    <row r="6" spans="1:3" x14ac:dyDescent="0.35">
      <c r="A6" t="s">
        <v>82</v>
      </c>
      <c r="B6" t="str">
        <f>VLOOKUP(A6,PLCW!M:N,2,FALSE)</f>
        <v>Raw Mill</v>
      </c>
      <c r="C6" t="str">
        <f>VLOOKUP(A6,PLCW!O:P,2,FALSE)</f>
        <v>N-PLCW1-RM1-F-FSP-RM1_331WF5_FBAI05</v>
      </c>
    </row>
    <row r="7" spans="1:3" x14ac:dyDescent="0.35">
      <c r="A7" t="s">
        <v>89</v>
      </c>
      <c r="B7" t="str">
        <f>VLOOKUP(A7,PLCW!M:N,2,FALSE)</f>
        <v>Raw Mill</v>
      </c>
      <c r="C7" t="str">
        <f>VLOOKUP(A7,PLCW!O:P,2,FALSE)</f>
        <v>N-PLCW1-RM1-F-PV-RM1_331WF1_FR</v>
      </c>
    </row>
    <row r="8" spans="1:3" x14ac:dyDescent="0.35">
      <c r="A8" t="s">
        <v>95</v>
      </c>
      <c r="B8" t="str">
        <f>VLOOKUP(A8,PLCW!M:N,2,FALSE)</f>
        <v>Raw Mill</v>
      </c>
      <c r="C8" t="str">
        <f>VLOOKUP(A8,PLCW!O:P,2,FALSE)</f>
        <v>N-PLCW1-RM1-F-PV-RM1_331WF2_FR</v>
      </c>
    </row>
    <row r="9" spans="1:3" x14ac:dyDescent="0.35">
      <c r="A9" t="s">
        <v>100</v>
      </c>
      <c r="B9" t="str">
        <f>VLOOKUP(A9,PLCW!M:N,2,FALSE)</f>
        <v>Raw Mill</v>
      </c>
      <c r="C9" t="str">
        <f>VLOOKUP(A9,PLCW!O:P,2,FALSE)</f>
        <v>N-PLCW1-RM1-F-PV-RM1_331WF3_FR</v>
      </c>
    </row>
    <row r="10" spans="1:3" x14ac:dyDescent="0.35">
      <c r="A10" t="s">
        <v>106</v>
      </c>
      <c r="B10" t="str">
        <f>VLOOKUP(A10,PLCW!M:N,2,FALSE)</f>
        <v>Raw Mill</v>
      </c>
      <c r="C10" t="str">
        <f>VLOOKUP(A10,PLCW!O:P,2,FALSE)</f>
        <v>N-PLCW1-RM1-F-PV-RM1_331WF4_FR</v>
      </c>
    </row>
    <row r="11" spans="1:3" x14ac:dyDescent="0.35">
      <c r="A11" t="s">
        <v>112</v>
      </c>
      <c r="B11" t="str">
        <f>VLOOKUP(A11,PLCW!M:N,2,FALSE)</f>
        <v>Raw Mill</v>
      </c>
      <c r="C11" t="str">
        <f>VLOOKUP(A11,PLCW!O:P,2,FALSE)</f>
        <v>N-PLCW1-RM1-F-PV-RM1_331WF5_FR</v>
      </c>
    </row>
    <row r="12" spans="1:3" x14ac:dyDescent="0.35">
      <c r="A12" t="s">
        <v>148</v>
      </c>
      <c r="B12" t="str">
        <f>VLOOKUP(A12,PLCW!M:N,2,FALSE)</f>
        <v>Raw Mill</v>
      </c>
      <c r="C12" t="str">
        <f>VLOOKUP(A12,PLCW!O:P,2,FALSE)</f>
        <v>N-PLCW1-RM1-I-PV-RM1_361BE1_M01II_B</v>
      </c>
    </row>
    <row r="13" spans="1:3" x14ac:dyDescent="0.35">
      <c r="A13" t="s">
        <v>122</v>
      </c>
      <c r="B13" t="str">
        <f>VLOOKUP(A13,PLCW!M:N,2,FALSE)</f>
        <v>Raw Mill</v>
      </c>
      <c r="C13" t="str">
        <f>VLOOKUP(A13,PLCW!O:P,2,FALSE)</f>
        <v>N-PLCW1-RM1-F-PV-RM1_331WF_TPH_TOT</v>
      </c>
    </row>
    <row r="14" spans="1:3" x14ac:dyDescent="0.35">
      <c r="A14" t="s">
        <v>1848</v>
      </c>
      <c r="B14" t="e">
        <f>VLOOKUP(A14,PLCW!M:N,2,FALSE)</f>
        <v>#N/A</v>
      </c>
      <c r="C14" t="e">
        <f>VLOOKUP(A14,PLCW!O:P,2,FALSE)</f>
        <v>#N/A</v>
      </c>
    </row>
    <row r="15" spans="1:3" x14ac:dyDescent="0.35">
      <c r="A15" t="s">
        <v>1849</v>
      </c>
      <c r="B15" t="e">
        <f>VLOOKUP(A15,PLCW!M:N,2,FALSE)</f>
        <v>#N/A</v>
      </c>
      <c r="C15" t="e">
        <f>VLOOKUP(A15,PLCW!O:P,2,FALSE)</f>
        <v>#N/A</v>
      </c>
    </row>
    <row r="16" spans="1:3" x14ac:dyDescent="0.35">
      <c r="A16" t="s">
        <v>1850</v>
      </c>
      <c r="B16" t="e">
        <f>VLOOKUP(A16,PLCW!M:N,2,FALSE)</f>
        <v>#N/A</v>
      </c>
      <c r="C16" t="e">
        <f>VLOOKUP(A16,PLCW!O:P,2,FALSE)</f>
        <v>#N/A</v>
      </c>
    </row>
    <row r="17" spans="1:3" x14ac:dyDescent="0.35">
      <c r="A17" t="s">
        <v>1851</v>
      </c>
      <c r="B17" t="e">
        <f>VLOOKUP(A17,PLCW!M:N,2,FALSE)</f>
        <v>#N/A</v>
      </c>
      <c r="C17" t="e">
        <f>VLOOKUP(A17,PLCW!O:P,2,FALSE)</f>
        <v>#N/A</v>
      </c>
    </row>
    <row r="18" spans="1:3" x14ac:dyDescent="0.35">
      <c r="A18" t="s">
        <v>257</v>
      </c>
      <c r="B18" t="str">
        <f>VLOOKUP(A18,PLCW!M:N,2,FALSE)</f>
        <v>Raw Mill</v>
      </c>
      <c r="C18" t="str">
        <f>VLOOKUP(A18,PLCW!O:P,2,FALSE)</f>
        <v>N-PLCW1-RM1-P-PV-RM1_361RM1_PT3</v>
      </c>
    </row>
    <row r="19" spans="1:3" x14ac:dyDescent="0.35">
      <c r="A19" t="s">
        <v>1852</v>
      </c>
      <c r="B19" t="e">
        <f>VLOOKUP(A19,PLCW!M:N,2,FALSE)</f>
        <v>#N/A</v>
      </c>
      <c r="C19" t="e">
        <f>VLOOKUP(A19,PLCW!O:P,2,FALSE)</f>
        <v>#N/A</v>
      </c>
    </row>
    <row r="20" spans="1:3" x14ac:dyDescent="0.35">
      <c r="A20" t="s">
        <v>1853</v>
      </c>
      <c r="B20" t="e">
        <f>VLOOKUP(A20,PLCW!M:N,2,FALSE)</f>
        <v>#N/A</v>
      </c>
      <c r="C20" t="e">
        <f>VLOOKUP(A20,PLCW!O:P,2,FALSE)</f>
        <v>#N/A</v>
      </c>
    </row>
    <row r="21" spans="1:3" x14ac:dyDescent="0.35">
      <c r="A21" t="s">
        <v>252</v>
      </c>
      <c r="B21" t="str">
        <f>VLOOKUP(A21,PLCW!M:N,2,FALSE)</f>
        <v>Raw Mill</v>
      </c>
      <c r="C21" t="str">
        <f>VLOOKUP(A21,PLCW!O:P,2,FALSE)</f>
        <v>N-PLCW1-RM1-P-PV-RM1_361RM1_PT1_PT2</v>
      </c>
    </row>
    <row r="22" spans="1:3" x14ac:dyDescent="0.35">
      <c r="A22" t="s">
        <v>194</v>
      </c>
      <c r="B22" t="str">
        <f>VLOOKUP(A22,PLCW!M:N,2,FALSE)</f>
        <v>Raw Mill</v>
      </c>
      <c r="C22" t="str">
        <f>VLOOKUP(A22,PLCW!O:P,2,FALSE)</f>
        <v>N-PLCW1-RM1-L-PV-RM1_361HT1_S01AI01</v>
      </c>
    </row>
    <row r="23" spans="1:3" x14ac:dyDescent="0.35">
      <c r="A23" t="s">
        <v>334</v>
      </c>
      <c r="B23" t="str">
        <f>VLOOKUP(A23,PLCW!M:N,2,FALSE)</f>
        <v>Raw Mill</v>
      </c>
      <c r="C23" t="str">
        <f>VLOOKUP(A23,PLCW!O:P,2,FALSE)</f>
        <v>N-PLCW1-RM1-X-PV-RM1_361RM1_XT03</v>
      </c>
    </row>
    <row r="24" spans="1:3" x14ac:dyDescent="0.35">
      <c r="A24" t="s">
        <v>329</v>
      </c>
      <c r="B24" t="str">
        <f>VLOOKUP(A24,PLCW!M:N,2,FALSE)</f>
        <v>Raw Mill</v>
      </c>
      <c r="C24" t="str">
        <f>VLOOKUP(A24,PLCW!O:P,2,FALSE)</f>
        <v>N-PLCW1-RM1-X-PV-RM1_361RM1_XT02</v>
      </c>
    </row>
    <row r="25" spans="1:3" x14ac:dyDescent="0.35">
      <c r="A25" t="s">
        <v>323</v>
      </c>
      <c r="B25" t="str">
        <f>VLOOKUP(A25,PLCW!M:N,2,FALSE)</f>
        <v>Raw Mill</v>
      </c>
      <c r="C25" t="str">
        <f>VLOOKUP(A25,PLCW!O:P,2,FALSE)</f>
        <v>N-PLCW1-RM1-X-PV-RM1_361RM1_XT01</v>
      </c>
    </row>
    <row r="26" spans="1:3" x14ac:dyDescent="0.35">
      <c r="A26" t="s">
        <v>311</v>
      </c>
      <c r="B26" t="str">
        <f>VLOOKUP(A26,PLCW!M:N,2,FALSE)</f>
        <v>Raw Mill</v>
      </c>
      <c r="C26" t="str">
        <f>VLOOKUP(A26,PLCW!O:P,2,FALSE)</f>
        <v>N-PLCW1-RM1-T-PV-RM1_361RM1_TT1</v>
      </c>
    </row>
    <row r="27" spans="1:3" x14ac:dyDescent="0.35">
      <c r="A27" t="s">
        <v>245</v>
      </c>
      <c r="B27" t="str">
        <f>VLOOKUP(A27,PLCW!M:N,2,FALSE)</f>
        <v>Raw Mill</v>
      </c>
      <c r="C27" t="str">
        <f>VLOOKUP(A27,PLCW!O:P,2,FALSE)</f>
        <v>N-PLCW1-RM1-P-PV-RM1_361RM1_PT1</v>
      </c>
    </row>
    <row r="28" spans="1:3" x14ac:dyDescent="0.35">
      <c r="A28" t="s">
        <v>166</v>
      </c>
      <c r="B28" t="str">
        <f>VLOOKUP(A28,PLCW!M:N,2,FALSE)</f>
        <v>Raw Mill</v>
      </c>
      <c r="C28" t="str">
        <f>VLOOKUP(A28,PLCW!O:P,2,FALSE)</f>
        <v>N-PLCW1-RM1-J-PV-RABH_HT_MFM4_TOT_ACT_PWR</v>
      </c>
    </row>
    <row r="29" spans="1:3" x14ac:dyDescent="0.35">
      <c r="A29" t="s">
        <v>233</v>
      </c>
      <c r="B29" t="str">
        <f>VLOOKUP(A29,PLCW!M:N,2,FALSE)</f>
        <v>Raw Mill</v>
      </c>
      <c r="C29" t="str">
        <f>VLOOKUP(A29,PLCW!O:P,2,FALSE)</f>
        <v>N-PLCW1-RM1-P-PV-RM1_361HT1_PT13</v>
      </c>
    </row>
    <row r="30" spans="1:3" x14ac:dyDescent="0.35">
      <c r="A30" t="s">
        <v>239</v>
      </c>
      <c r="B30" t="str">
        <f>VLOOKUP(A30,PLCW!M:N,2,FALSE)</f>
        <v>Raw Mill</v>
      </c>
      <c r="C30" t="str">
        <f>VLOOKUP(A30,PLCW!O:P,2,FALSE)</f>
        <v>N-PLCW1-RM1-P-PV-RM1_361HT1_PT24</v>
      </c>
    </row>
    <row r="31" spans="1:3" x14ac:dyDescent="0.35">
      <c r="A31" t="s">
        <v>134</v>
      </c>
      <c r="B31" t="str">
        <f>VLOOKUP(A31,PLCW!M:N,2,FALSE)</f>
        <v>Raw Mill</v>
      </c>
      <c r="C31" t="str">
        <f>VLOOKUP(A31,PLCW!O:P,2,FALSE)</f>
        <v>N-PLCW1-RM1-F-PV-RM1_361WI1_FT1</v>
      </c>
    </row>
    <row r="32" spans="1:3" x14ac:dyDescent="0.35">
      <c r="A32" t="s">
        <v>127</v>
      </c>
      <c r="B32" t="str">
        <f>VLOOKUP(A32,PLCW!M:N,2,FALSE)</f>
        <v>Raw Mill</v>
      </c>
      <c r="C32" t="str">
        <f>VLOOKUP(A32,PLCW!O:P,2,FALSE)</f>
        <v>N-PLCW1-RM1-F-PV-RM1_361BW1_FR</v>
      </c>
    </row>
    <row r="33" spans="1:3" x14ac:dyDescent="0.35">
      <c r="A33" t="s">
        <v>1729</v>
      </c>
      <c r="B33" t="e">
        <f>VLOOKUP(A33,PLCW!M:N,2,FALSE)</f>
        <v>#N/A</v>
      </c>
      <c r="C33" t="e">
        <f>VLOOKUP(A33,PLCW!O:P,2,FALSE)</f>
        <v>#N/A</v>
      </c>
    </row>
    <row r="34" spans="1:3" x14ac:dyDescent="0.35">
      <c r="A34" t="s">
        <v>86</v>
      </c>
      <c r="B34" t="e">
        <f>VLOOKUP(A34,PLCW!M:N,2,FALSE)</f>
        <v>#N/A</v>
      </c>
      <c r="C34" t="e">
        <f>VLOOKUP(A34,PLCW!O:P,2,FALSE)</f>
        <v>#N/A</v>
      </c>
    </row>
    <row r="35" spans="1:3" x14ac:dyDescent="0.35">
      <c r="A35" t="s">
        <v>292</v>
      </c>
      <c r="B35" t="str">
        <f>VLOOKUP(A35,PLCW!M:N,2,FALSE)</f>
        <v>Raw Mill</v>
      </c>
      <c r="C35" t="str">
        <f>VLOOKUP(A35,PLCW!O:P,2,FALSE)</f>
        <v>N-PLCW1-RM1-R-PV-RM1_361SR1_SI</v>
      </c>
    </row>
    <row r="36" spans="1:3" x14ac:dyDescent="0.35">
      <c r="A36" t="s">
        <v>1730</v>
      </c>
      <c r="B36" t="e">
        <f>VLOOKUP(A36,PLCW!M:N,2,FALSE)</f>
        <v>#N/A</v>
      </c>
      <c r="C36" t="e">
        <f>VLOOKUP(A36,PLCW!O:P,2,FALSE)</f>
        <v>#N/A</v>
      </c>
    </row>
    <row r="37" spans="1:3" x14ac:dyDescent="0.35">
      <c r="A37" t="s">
        <v>275</v>
      </c>
      <c r="B37" t="str">
        <f>VLOOKUP(A37,PLCW!M:N,2,FALSE)</f>
        <v>Raw Mill</v>
      </c>
      <c r="C37" t="str">
        <f>VLOOKUP(A37,PLCW!O:P,2,FALSE)</f>
        <v>N-PLCW1-RM1-R-FSP-RM1_361SR1_SPSPM</v>
      </c>
    </row>
    <row r="38" spans="1:3" x14ac:dyDescent="0.35">
      <c r="A38">
        <v>361</v>
      </c>
      <c r="B38" t="e">
        <f>VLOOKUP(A38,PLCW!M:N,2,FALSE)</f>
        <v>#N/A</v>
      </c>
      <c r="C38" t="e">
        <f>VLOOKUP(A38,PLCW!O:P,2,FALSE)</f>
        <v>#N/A</v>
      </c>
    </row>
    <row r="39" spans="1:3" x14ac:dyDescent="0.35">
      <c r="A39" t="s">
        <v>1854</v>
      </c>
      <c r="B39" t="e">
        <f>VLOOKUP(A39,PLCW!M:N,2,FALSE)</f>
        <v>#N/A</v>
      </c>
      <c r="C39" t="e">
        <f>VLOOKUP(A39,PLCW!O:P,2,FALSE)</f>
        <v>#N/A</v>
      </c>
    </row>
    <row r="40" spans="1:3" x14ac:dyDescent="0.35">
      <c r="A40" t="s">
        <v>1855</v>
      </c>
      <c r="B40" t="e">
        <f>VLOOKUP(A40,PLCW!M:N,2,FALSE)</f>
        <v>#N/A</v>
      </c>
      <c r="C40" t="e">
        <f>VLOOKUP(A40,PLCW!O:P,2,FALSE)</f>
        <v>#N/A</v>
      </c>
    </row>
    <row r="41" spans="1:3" x14ac:dyDescent="0.35">
      <c r="A41" t="s">
        <v>1856</v>
      </c>
      <c r="B41" t="e">
        <f>VLOOKUP(A41,PLCW!M:N,2,FALSE)</f>
        <v>#N/A</v>
      </c>
      <c r="C41" t="e">
        <f>VLOOKUP(A41,PLCW!O:P,2,FALSE)</f>
        <v>#N/A</v>
      </c>
    </row>
    <row r="42" spans="1:3" x14ac:dyDescent="0.35">
      <c r="A42" t="s">
        <v>1857</v>
      </c>
      <c r="B42" t="e">
        <f>VLOOKUP(A42,PLCW!M:N,2,FALSE)</f>
        <v>#N/A</v>
      </c>
      <c r="C42" t="e">
        <f>VLOOKUP(A42,PLCW!O:P,2,FALSE)</f>
        <v>#N/A</v>
      </c>
    </row>
    <row r="43" spans="1:3" x14ac:dyDescent="0.35">
      <c r="A43" t="s">
        <v>1858</v>
      </c>
      <c r="B43" t="e">
        <f>VLOOKUP(A43,PLCW!M:N,2,FALSE)</f>
        <v>#N/A</v>
      </c>
      <c r="C43" t="e">
        <f>VLOOKUP(A43,PLCW!O:P,2,FALSE)</f>
        <v>#N/A</v>
      </c>
    </row>
    <row r="44" spans="1:3" x14ac:dyDescent="0.35">
      <c r="A44" t="s">
        <v>1859</v>
      </c>
      <c r="B44" t="e">
        <f>VLOOKUP(A44,PLCW!M:N,2,FALSE)</f>
        <v>#N/A</v>
      </c>
      <c r="C44" t="e">
        <f>VLOOKUP(A44,PLCW!O:P,2,FALSE)</f>
        <v>#N/A</v>
      </c>
    </row>
    <row r="45" spans="1:3" x14ac:dyDescent="0.35">
      <c r="A45" t="s">
        <v>1860</v>
      </c>
      <c r="B45" t="e">
        <f>VLOOKUP(A45,PLCW!M:N,2,FALSE)</f>
        <v>#N/A</v>
      </c>
      <c r="C45" t="e">
        <f>VLOOKUP(A45,PLCW!O:P,2,FALSE)</f>
        <v>#N/A</v>
      </c>
    </row>
    <row r="46" spans="1:3" x14ac:dyDescent="0.35">
      <c r="A46" t="s">
        <v>1861</v>
      </c>
      <c r="B46" t="e">
        <f>VLOOKUP(A46,PLCW!M:N,2,FALSE)</f>
        <v>#N/A</v>
      </c>
      <c r="C46" t="e">
        <f>VLOOKUP(A46,PLCW!O:P,2,FALSE)</f>
        <v>#N/A</v>
      </c>
    </row>
    <row r="47" spans="1:3" x14ac:dyDescent="0.35">
      <c r="A47" t="s">
        <v>1862</v>
      </c>
      <c r="B47" t="e">
        <f>VLOOKUP(A47,PLCW!M:N,2,FALSE)</f>
        <v>#N/A</v>
      </c>
      <c r="C47" t="e">
        <f>VLOOKUP(A47,PLCW!O:P,2,FALSE)</f>
        <v>#N/A</v>
      </c>
    </row>
    <row r="48" spans="1:3" x14ac:dyDescent="0.35">
      <c r="A48" t="s">
        <v>221</v>
      </c>
      <c r="B48" t="str">
        <f>VLOOKUP(A48,PLCW!M:N,2,FALSE)</f>
        <v>Raw Mill</v>
      </c>
      <c r="C48" t="str">
        <f>VLOOKUP(A48,PLCW!O:P,2,FALSE)</f>
        <v>N-PLCW1-RM1-P-PV-PH_421BF1_DPT</v>
      </c>
    </row>
    <row r="49" spans="1:3" x14ac:dyDescent="0.35">
      <c r="A49" t="s">
        <v>1863</v>
      </c>
      <c r="B49" t="e">
        <f>VLOOKUP(A49,PLCW!M:N,2,FALSE)</f>
        <v>#N/A</v>
      </c>
      <c r="C49" t="e">
        <f>VLOOKUP(A49,PLCW!O:P,2,FALSE)</f>
        <v>#N/A</v>
      </c>
    </row>
    <row r="50" spans="1:3" x14ac:dyDescent="0.35">
      <c r="A50" t="s">
        <v>1864</v>
      </c>
      <c r="B50" t="e">
        <f>VLOOKUP(A50,PLCW!M:N,2,FALSE)</f>
        <v>#N/A</v>
      </c>
      <c r="C50" t="e">
        <f>VLOOKUP(A50,PLCW!O:P,2,FALSE)</f>
        <v>#N/A</v>
      </c>
    </row>
    <row r="51" spans="1:3" x14ac:dyDescent="0.35">
      <c r="A51" t="s">
        <v>200</v>
      </c>
      <c r="B51" t="str">
        <f>VLOOKUP(A51,PLCW!M:N,2,FALSE)</f>
        <v>Raw Mill</v>
      </c>
      <c r="C51" t="str">
        <f>VLOOKUP(A51,PLCW!O:P,2,FALSE)</f>
        <v>N-PLCW1-RM1-L-PV-RM1_391SB1_LT</v>
      </c>
    </row>
    <row r="52" spans="1:3" x14ac:dyDescent="0.35">
      <c r="A52" t="s">
        <v>207</v>
      </c>
      <c r="B52" t="str">
        <f>VLOOKUP(A52,PLCW!M:N,2,FALSE)</f>
        <v>Raw Mill</v>
      </c>
      <c r="C52" t="str">
        <f>VLOOKUP(A52,PLCW!O:P,2,FALSE)</f>
        <v>N-PLCW1-RM1-L-PV-RM1_CF_SILO_LVL_MT</v>
      </c>
    </row>
    <row r="53" spans="1:3" x14ac:dyDescent="0.35">
      <c r="A53" t="s">
        <v>154</v>
      </c>
      <c r="B53" t="str">
        <f>VLOOKUP(A53,PLCW!M:N,2,FALSE)</f>
        <v>Raw Mill</v>
      </c>
      <c r="C53" t="str">
        <f>VLOOKUP(A53,PLCW!O:P,2,FALSE)</f>
        <v>N-PLCW1-RM1-I-PV-RM1_391BE1_M01II_B</v>
      </c>
    </row>
    <row r="54" spans="1:3" x14ac:dyDescent="0.35">
      <c r="A54" t="s">
        <v>159</v>
      </c>
      <c r="B54" t="str">
        <f>VLOOKUP(A54,PLCW!M:N,2,FALSE)</f>
        <v>Raw Mill</v>
      </c>
      <c r="C54" t="str">
        <f>VLOOKUP(A54,PLCW!O:P,2,FALSE)</f>
        <v>N-PLCW1-RM1-I-PV-RM1_391BE1_M02II_B</v>
      </c>
    </row>
    <row r="55" spans="1:3" x14ac:dyDescent="0.35">
      <c r="A55" t="s">
        <v>182</v>
      </c>
      <c r="B55" t="str">
        <f>VLOOKUP(A55,PLCW!M:N,2,FALSE)</f>
        <v>Raw Mill</v>
      </c>
      <c r="C55" t="str">
        <f>VLOOKUP(A55,PLCW!O:P,2,FALSE)</f>
        <v>N-PLCW1-RM1-J-PV-RM1_391BE1_M01JI_B</v>
      </c>
    </row>
    <row r="56" spans="1:3" x14ac:dyDescent="0.35">
      <c r="A56" t="s">
        <v>187</v>
      </c>
      <c r="B56" t="str">
        <f>VLOOKUP(A56,PLCW!M:N,2,FALSE)</f>
        <v>Raw Mill</v>
      </c>
      <c r="C56" t="str">
        <f>VLOOKUP(A56,PLCW!O:P,2,FALSE)</f>
        <v>N-PLCW1-RM1-J-PV-RM1_391BE1_M02JI_B</v>
      </c>
    </row>
    <row r="57" spans="1:3" x14ac:dyDescent="0.35">
      <c r="A57" t="s">
        <v>55</v>
      </c>
      <c r="B57" t="e">
        <f>VLOOKUP(A57,PLCW!M:N,2,FALSE)</f>
        <v>#N/A</v>
      </c>
      <c r="C57" t="e">
        <f>VLOOKUP(A57,PLCW!O:P,2,FALSE)</f>
        <v>#N/A</v>
      </c>
    </row>
    <row r="58" spans="1:3" x14ac:dyDescent="0.35">
      <c r="A58" t="s">
        <v>215</v>
      </c>
      <c r="B58" t="str">
        <f>VLOOKUP(A58,PLCW!M:N,2,FALSE)</f>
        <v>Raw Mill</v>
      </c>
      <c r="C58" t="str">
        <f>VLOOKUP(A58,PLCW!O:P,2,FALSE)</f>
        <v>N-PLCW1-RM1-P-FSP-PH_421FN1_SPSPA</v>
      </c>
    </row>
    <row r="59" spans="1:3" x14ac:dyDescent="0.35">
      <c r="A59" t="s">
        <v>227</v>
      </c>
      <c r="B59" t="str">
        <f>VLOOKUP(A59,PLCW!M:N,2,FALSE)</f>
        <v>Raw Mill</v>
      </c>
      <c r="C59" t="str">
        <f>VLOOKUP(A59,PLCW!O:P,2,FALSE)</f>
        <v>N-PLCW1-RM1-P-PV-PH_441FN1_PT02</v>
      </c>
    </row>
    <row r="60" spans="1:3" x14ac:dyDescent="0.35">
      <c r="A60" t="s">
        <v>287</v>
      </c>
      <c r="B60" t="str">
        <f>VLOOKUP(A60,PLCW!M:N,2,FALSE)</f>
        <v>Raw Mill</v>
      </c>
      <c r="C60" t="str">
        <f>VLOOKUP(A60,PLCW!O:P,2,FALSE)</f>
        <v>N-PLCW1-RM1-R-PV-PH_421FN1_SPSPM</v>
      </c>
    </row>
    <row r="61" spans="1:3" x14ac:dyDescent="0.35">
      <c r="A61" t="s">
        <v>281</v>
      </c>
      <c r="B61" t="str">
        <f>VLOOKUP(A61,PLCW!M:N,2,FALSE)</f>
        <v>Raw Mill</v>
      </c>
      <c r="C61" t="str">
        <f>VLOOKUP(A61,PLCW!O:P,2,FALSE)</f>
        <v>N-PLCW1-RM1-R-PV-PH_421FN1_SI</v>
      </c>
    </row>
    <row r="62" spans="1:3" x14ac:dyDescent="0.35">
      <c r="A62" t="s">
        <v>142</v>
      </c>
      <c r="B62" t="str">
        <f>VLOOKUP(A62,PLCW!M:N,2,FALSE)</f>
        <v>Raw Mill</v>
      </c>
      <c r="C62" t="str">
        <f>VLOOKUP(A62,PLCW!O:P,2,FALSE)</f>
        <v>N-PLCW1-RM1-I-PV-PH_421FN1_II</v>
      </c>
    </row>
    <row r="63" spans="1:3" x14ac:dyDescent="0.35">
      <c r="A63" t="s">
        <v>268</v>
      </c>
      <c r="B63" t="str">
        <f>VLOOKUP(A63,PLCW!M:N,2,FALSE)</f>
        <v>Raw Mill</v>
      </c>
      <c r="C63" t="str">
        <f>VLOOKUP(A63,PLCW!O:P,2,FALSE)</f>
        <v>N-PLCW1-RM1-P-PV-RM1_361RM1_PT5</v>
      </c>
    </row>
    <row r="64" spans="1:3" x14ac:dyDescent="0.35">
      <c r="A64" t="s">
        <v>316</v>
      </c>
      <c r="B64" t="str">
        <f>VLOOKUP(A64,PLCW!M:N,2,FALSE)</f>
        <v>Raw Mill</v>
      </c>
      <c r="C64" t="str">
        <f>VLOOKUP(A64,PLCW!O:P,2,FALSE)</f>
        <v>N-PLCW1-RM1-T-PV-RM1_361RM1_TT2</v>
      </c>
    </row>
    <row r="65" spans="1:3" x14ac:dyDescent="0.35">
      <c r="A65" t="s">
        <v>1865</v>
      </c>
      <c r="B65" t="e">
        <f>VLOOKUP(A65,PLCW!M:N,2,FALSE)</f>
        <v>#N/A</v>
      </c>
      <c r="C65" t="e">
        <f>VLOOKUP(A65,PLCW!O:P,2,FALSE)</f>
        <v>#N/A</v>
      </c>
    </row>
    <row r="66" spans="1:3" x14ac:dyDescent="0.35">
      <c r="A66" t="s">
        <v>262</v>
      </c>
      <c r="B66" t="str">
        <f>VLOOKUP(A66,PLCW!M:N,2,FALSE)</f>
        <v>Raw Mill</v>
      </c>
      <c r="C66" t="str">
        <f>VLOOKUP(A66,PLCW!O:P,2,FALSE)</f>
        <v>N-PLCW1-RM1-P-PV-RM1_361RM1_PT4</v>
      </c>
    </row>
    <row r="67" spans="1:3" x14ac:dyDescent="0.35">
      <c r="A67" t="s">
        <v>1866</v>
      </c>
      <c r="B67" t="e">
        <f>VLOOKUP(A67,PLCW!M:N,2,FALSE)</f>
        <v>#N/A</v>
      </c>
      <c r="C67" t="e">
        <f>VLOOKUP(A67,PLCW!O:P,2,FALSE)</f>
        <v>#N/A</v>
      </c>
    </row>
    <row r="68" spans="1:3" x14ac:dyDescent="0.35">
      <c r="A68" t="s">
        <v>1867</v>
      </c>
      <c r="B68" t="e">
        <f>VLOOKUP(A68,PLCW!M:N,2,FALSE)</f>
        <v>#N/A</v>
      </c>
      <c r="C68" t="e">
        <f>VLOOKUP(A68,PLCW!O:P,2,FALSE)</f>
        <v>#N/A</v>
      </c>
    </row>
    <row r="69" spans="1:3" x14ac:dyDescent="0.35">
      <c r="A69" t="s">
        <v>1868</v>
      </c>
      <c r="B69" t="e">
        <f>VLOOKUP(A69,PLCW!M:N,2,FALSE)</f>
        <v>#N/A</v>
      </c>
      <c r="C69" t="e">
        <f>VLOOKUP(A69,PLCW!O:P,2,FALSE)</f>
        <v>#N/A</v>
      </c>
    </row>
    <row r="70" spans="1:3" x14ac:dyDescent="0.35">
      <c r="A70" t="s">
        <v>1869</v>
      </c>
      <c r="B70" t="e">
        <f>VLOOKUP(A70,PLCW!M:N,2,FALSE)</f>
        <v>#N/A</v>
      </c>
      <c r="C70" t="e">
        <f>VLOOKUP(A70,PLCW!O:P,2,FALSE)</f>
        <v>#N/A</v>
      </c>
    </row>
    <row r="71" spans="1:3" x14ac:dyDescent="0.35">
      <c r="A71" t="s">
        <v>1870</v>
      </c>
      <c r="B71" t="e">
        <f>VLOOKUP(A71,PLCW!M:N,2,FALSE)</f>
        <v>#N/A</v>
      </c>
      <c r="C71" t="e">
        <f>VLOOKUP(A71,PLCW!O:P,2,FALSE)</f>
        <v>#N/A</v>
      </c>
    </row>
    <row r="72" spans="1:3" x14ac:dyDescent="0.35">
      <c r="A72" t="s">
        <v>1871</v>
      </c>
      <c r="B72" t="e">
        <f>VLOOKUP(A72,PLCW!M:N,2,FALSE)</f>
        <v>#N/A</v>
      </c>
      <c r="C72" t="e">
        <f>VLOOKUP(A72,PLCW!O:P,2,FALSE)</f>
        <v>#N/A</v>
      </c>
    </row>
    <row r="73" spans="1:3" x14ac:dyDescent="0.35">
      <c r="A73" t="s">
        <v>1872</v>
      </c>
      <c r="B73" t="e">
        <f>VLOOKUP(A73,PLCW!M:N,2,FALSE)</f>
        <v>#N/A</v>
      </c>
      <c r="C73" t="e">
        <f>VLOOKUP(A73,PLCW!O:P,2,FALSE)</f>
        <v>#N/A</v>
      </c>
    </row>
    <row r="74" spans="1:3" x14ac:dyDescent="0.35">
      <c r="A74" t="s">
        <v>1873</v>
      </c>
      <c r="B74" t="e">
        <f>VLOOKUP(A74,PLCW!M:N,2,FALSE)</f>
        <v>#N/A</v>
      </c>
      <c r="C74" t="e">
        <f>VLOOKUP(A74,PLCW!O:P,2,FALSE)</f>
        <v>#N/A</v>
      </c>
    </row>
    <row r="75" spans="1:3" x14ac:dyDescent="0.35">
      <c r="A75" t="s">
        <v>1874</v>
      </c>
      <c r="B75" t="e">
        <f>VLOOKUP(A75,PLCW!M:N,2,FALSE)</f>
        <v>#N/A</v>
      </c>
      <c r="C75" t="e">
        <f>VLOOKUP(A75,PLCW!O:P,2,FALSE)</f>
        <v>#N/A</v>
      </c>
    </row>
    <row r="76" spans="1:3" x14ac:dyDescent="0.35">
      <c r="A76" t="s">
        <v>1875</v>
      </c>
      <c r="B76" t="e">
        <f>VLOOKUP(A76,PLCW!M:N,2,FALSE)</f>
        <v>#N/A</v>
      </c>
      <c r="C76" t="e">
        <f>VLOOKUP(A76,PLCW!O:P,2,FALSE)</f>
        <v>#N/A</v>
      </c>
    </row>
    <row r="77" spans="1:3" x14ac:dyDescent="0.35">
      <c r="A77" t="s">
        <v>1876</v>
      </c>
      <c r="B77" t="e">
        <f>VLOOKUP(A77,PLCW!M:N,2,FALSE)</f>
        <v>#N/A</v>
      </c>
      <c r="C77" t="e">
        <f>VLOOKUP(A77,PLCW!O:P,2,FALSE)</f>
        <v>#N/A</v>
      </c>
    </row>
    <row r="78" spans="1:3" x14ac:dyDescent="0.35">
      <c r="A78" t="s">
        <v>1877</v>
      </c>
      <c r="B78" t="e">
        <f>VLOOKUP(A78,PLCW!M:N,2,FALSE)</f>
        <v>#N/A</v>
      </c>
      <c r="C78" t="e">
        <f>VLOOKUP(A78,PLCW!O:P,2,FALSE)</f>
        <v>#N/A</v>
      </c>
    </row>
  </sheetData>
  <autoFilter ref="A1:C1" xr:uid="{12035DCA-0A71-488D-8810-D770ACBAE168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33E93C2172E34383842067FE3A7EF6" ma:contentTypeVersion="12" ma:contentTypeDescription="Create a new document." ma:contentTypeScope="" ma:versionID="5499303a7ade2e6f1f1639cd2ffced6c">
  <xsd:schema xmlns:xsd="http://www.w3.org/2001/XMLSchema" xmlns:xs="http://www.w3.org/2001/XMLSchema" xmlns:p="http://schemas.microsoft.com/office/2006/metadata/properties" xmlns:ns2="0508b0c6-d943-4577-ae4c-84b656c09f0c" xmlns:ns3="071f62f0-0511-4d17-a076-878e40549982" targetNamespace="http://schemas.microsoft.com/office/2006/metadata/properties" ma:root="true" ma:fieldsID="8bb4d50d5c519255f3ea019fc25780f8" ns2:_="" ns3:_="">
    <xsd:import namespace="0508b0c6-d943-4577-ae4c-84b656c09f0c"/>
    <xsd:import namespace="071f62f0-0511-4d17-a076-878e40549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08b0c6-d943-4577-ae4c-84b656c09f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1f62f0-0511-4d17-a076-878e405499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047a141-29ba-4743-8ee4-c1dd9dcf575e}" ma:internalName="TaxCatchAll" ma:showField="CatchAllData" ma:web="071f62f0-0511-4d17-a076-878e40549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1f62f0-0511-4d17-a076-878e40549982" xsi:nil="true"/>
    <lcf76f155ced4ddcb4097134ff3c332f xmlns="0508b0c6-d943-4577-ae4c-84b656c09f0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2DCB68-1179-4F5A-9034-93E92971EC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08b0c6-d943-4577-ae4c-84b656c09f0c"/>
    <ds:schemaRef ds:uri="071f62f0-0511-4d17-a076-878e405499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19AB04-C765-4C07-945D-333F49F9B6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5C6BB3-0DFD-49BA-913E-DB42BE6E1EF1}">
  <ds:schemaRefs>
    <ds:schemaRef ds:uri="http://schemas.microsoft.com/office/2006/metadata/properties"/>
    <ds:schemaRef ds:uri="http://schemas.microsoft.com/office/infopath/2007/PartnerControls"/>
    <ds:schemaRef ds:uri="071f62f0-0511-4d17-a076-878e40549982"/>
    <ds:schemaRef ds:uri="0508b0c6-d943-4577-ae4c-84b656c09f0c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PLCW</vt:lpstr>
      <vt:lpstr>PLCW-CBA</vt:lpstr>
      <vt:lpstr>PLCW-CementMill</vt:lpstr>
      <vt:lpstr>PLCW-Cooler</vt:lpstr>
      <vt:lpstr>PLCW-Kiln</vt:lpstr>
      <vt:lpstr>PLCW-RawMill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Swain, SwayamSudha</dc:creator>
  <cp:keywords/>
  <dc:description/>
  <cp:lastModifiedBy>Kapadia, Manil</cp:lastModifiedBy>
  <cp:revision/>
  <dcterms:created xsi:type="dcterms:W3CDTF">2025-05-28T08:32:05Z</dcterms:created>
  <dcterms:modified xsi:type="dcterms:W3CDTF">2025-06-05T06:12:30Z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0x0101007333E93C2172E34383842067FE3A7EF6</vt:lpwstr>
  </property>
  <property fmtid="{D5CDD505-2E9C-101B-9397-08002B2CF9AE}" pid="3" name="MediaServiceImageTags">
    <vt:lpwstr/>
  </property>
</Properties>
</file>